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be\Downloads\"/>
    </mc:Choice>
  </mc:AlternateContent>
  <xr:revisionPtr revIDLastSave="0" documentId="13_ncr:1_{027B10DA-C4BA-46B2-8EF1-8BD24B7DA7E3}" xr6:coauthVersionLast="47" xr6:coauthVersionMax="47" xr10:uidLastSave="{00000000-0000-0000-0000-000000000000}"/>
  <bookViews>
    <workbookView xWindow="3195" yWindow="3195" windowWidth="38700" windowHeight="15345" xr2:uid="{90942941-9851-463F-A1BB-EAAA89383C30}"/>
  </bookViews>
  <sheets>
    <sheet name="Mensualidades " sheetId="3" r:id="rId1"/>
    <sheet name="Uniformes y maletines " sheetId="6" r:id="rId2"/>
  </sheets>
  <definedNames>
    <definedName name="_xlnm._FilterDatabase" localSheetId="0" hidden="1">'Mensualidades '!$B$5:$O$124</definedName>
    <definedName name="_xlnm._FilterDatabase" localSheetId="1" hidden="1">'Uniformes y maletines '!$Q$3:$V$3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77" i="6" l="1"/>
  <c r="AT75" i="6"/>
  <c r="AD68" i="6" l="1"/>
  <c r="BS51" i="6"/>
  <c r="BS53" i="6" s="1"/>
  <c r="BS59" i="6"/>
  <c r="D79" i="6"/>
  <c r="BZ25" i="6" l="1"/>
  <c r="CA27" i="6"/>
  <c r="CA29" i="6" s="1"/>
  <c r="BY21" i="6" l="1"/>
  <c r="BY18" i="6"/>
  <c r="BY17" i="6"/>
  <c r="BY16" i="6"/>
  <c r="BY13" i="6"/>
  <c r="BY15" i="6"/>
  <c r="BY14" i="6"/>
  <c r="BY11" i="6"/>
  <c r="BY10" i="6"/>
  <c r="BY7" i="6"/>
  <c r="BY6" i="6"/>
  <c r="BY5" i="6"/>
  <c r="E62" i="6" l="1"/>
  <c r="E6" i="6"/>
  <c r="C34" i="6"/>
  <c r="C8" i="6"/>
  <c r="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K13" authorId="0" shapeId="0" xr:uid="{05EEA2FB-65C0-414C-A35A-0D745209460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mas 70 de un mes q estuvo la hermana Hellen
</t>
        </r>
      </text>
    </comment>
    <comment ref="J75" authorId="0" shapeId="0" xr:uid="{2FEBBFF0-6758-4977-B91E-D7830FB2A4D4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envio 10 el 01 de agosto pendientes
</t>
        </r>
      </text>
    </comment>
    <comment ref="I83" authorId="0" shapeId="0" xr:uid="{90432674-0FE6-499A-926C-88830F6DC0C3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pago poliza tambien
</t>
        </r>
      </text>
    </comment>
    <comment ref="J83" authorId="0" shapeId="0" xr:uid="{D32FFDB8-E9CE-40D6-A90E-04EC3B6C77E3}">
      <text>
        <r>
          <rPr>
            <b/>
            <sz val="9"/>
            <color indexed="81"/>
            <rFont val="Tahoma"/>
            <charset val="1"/>
          </rPr>
          <t>PC:</t>
        </r>
        <r>
          <rPr>
            <sz val="9"/>
            <color indexed="81"/>
            <rFont val="Tahoma"/>
            <charset val="1"/>
          </rPr>
          <t xml:space="preserve">
pago poliza tambien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Hernandez</author>
    <author>PC</author>
  </authors>
  <commentList>
    <comment ref="M4" authorId="0" shapeId="0" xr:uid="{A0BE53C3-F453-4EE4-B3B6-DC9A9C4B8F90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Helena
</t>
        </r>
      </text>
    </comment>
    <comment ref="M6" authorId="0" shapeId="0" xr:uid="{08A1B822-43EF-4269-B045-98D53213E4E9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Enrique
</t>
        </r>
      </text>
    </comment>
    <comment ref="M7" authorId="0" shapeId="0" xr:uid="{B2B32E65-EB29-49C5-BFCE-99C9B92EB581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Daniel</t>
        </r>
      </text>
    </comment>
    <comment ref="M8" authorId="0" shapeId="0" xr:uid="{88F3767C-F46C-4B9D-9B5A-EFB2D2AA0FA6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Isa caicedo</t>
        </r>
      </text>
    </comment>
    <comment ref="M9" authorId="0" shapeId="0" xr:uid="{555E8A3F-0BBE-49E5-8E97-AE60ADB1D6F5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Christopher</t>
        </r>
      </text>
    </comment>
    <comment ref="M10" authorId="0" shapeId="0" xr:uid="{62312ECA-5722-4E58-BCEB-C01AA06E916B}">
      <text>
        <r>
          <rPr>
            <b/>
            <sz val="9"/>
            <color indexed="81"/>
            <rFont val="Tahoma"/>
            <family val="2"/>
          </rPr>
          <t>Ronald Hernandez:
victoria</t>
        </r>
      </text>
    </comment>
    <comment ref="M11" authorId="0" shapeId="0" xr:uid="{0E9BF89B-473F-4467-ADE9-92FE97082680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miguel patiño
</t>
        </r>
      </text>
    </comment>
    <comment ref="M12" authorId="0" shapeId="0" xr:uid="{86325BB9-76E2-488E-AA67-A61EACDAF733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Santiago zarta</t>
        </r>
      </text>
    </comment>
    <comment ref="M13" authorId="0" shapeId="0" xr:uid="{BCCF8300-DD43-4CBF-A12E-03F57CD663B3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Jeronimo</t>
        </r>
      </text>
    </comment>
    <comment ref="M14" authorId="0" shapeId="0" xr:uid="{510AC0AE-5287-46F1-9979-4BE9874EC818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Emiliano Olivares
</t>
        </r>
      </text>
    </comment>
    <comment ref="M15" authorId="0" shapeId="0" xr:uid="{5B54CA4C-0F64-427D-AE52-EC5C59E4FFB4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David</t>
        </r>
      </text>
    </comment>
    <comment ref="M16" authorId="0" shapeId="0" xr:uid="{2B2B066E-F89D-425B-8BC9-2288F84D698A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sofia
</t>
        </r>
      </text>
    </comment>
    <comment ref="M17" authorId="0" shapeId="0" xr:uid="{B8347D92-5B66-4BCB-B1D1-B3E47608A9F8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jose
</t>
        </r>
      </text>
    </comment>
    <comment ref="M18" authorId="0" shapeId="0" xr:uid="{B0EFA3B3-4183-4687-9B34-67847261ABE0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felipe Cano
</t>
        </r>
      </text>
    </comment>
    <comment ref="M19" authorId="0" shapeId="0" xr:uid="{893C5DD6-7F1E-492B-B475-891B2BA94D77}">
      <text>
        <r>
          <rPr>
            <b/>
            <sz val="9"/>
            <color indexed="81"/>
            <rFont val="Tahoma"/>
            <family val="2"/>
          </rPr>
          <t xml:space="preserve">Ronald Hernan
Melany debe 45
</t>
        </r>
      </text>
    </comment>
    <comment ref="M20" authorId="0" shapeId="0" xr:uid="{E4062071-B97B-418D-A410-BD3720A941E4}">
      <text>
        <r>
          <rPr>
            <b/>
            <sz val="9"/>
            <color indexed="81"/>
            <rFont val="Tahoma"/>
            <family val="2"/>
          </rPr>
          <t xml:space="preserve">Ronald Hernan
gabriela Grimaldo
</t>
        </r>
      </text>
    </comment>
    <comment ref="M21" authorId="0" shapeId="0" xr:uid="{A27A0CAF-1070-425A-8617-0798C2CCCCFF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Luciana carrillo
</t>
        </r>
      </text>
    </comment>
    <comment ref="M22" authorId="0" shapeId="0" xr:uid="{C8CC5CA6-5998-4592-87E4-59B5D78DB15F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gabriela morales
</t>
        </r>
      </text>
    </comment>
    <comment ref="M23" authorId="0" shapeId="0" xr:uid="{9F8D434F-BDD7-470B-B0C4-EB2176F814C6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Celeste
</t>
        </r>
      </text>
    </comment>
    <comment ref="M24" authorId="0" shapeId="0" xr:uid="{802BC7E9-1992-42C9-9D29-B60EAC6D5959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Santiago montoya
</t>
        </r>
      </text>
    </comment>
    <comment ref="M25" authorId="0" shapeId="0" xr:uid="{B5D0455F-0475-4406-8D84-B0B504B9C50A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Victoria gomez
</t>
        </r>
      </text>
    </comment>
    <comment ref="M26" authorId="0" shapeId="0" xr:uid="{C764BFCC-A1C6-4AC5-8A85-5E08AFF4F00D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Juan jose </t>
        </r>
      </text>
    </comment>
    <comment ref="M27" authorId="0" shapeId="0" xr:uid="{547C34CE-C509-4280-9737-DC1B8E72C4F2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German Ortega
</t>
        </r>
      </text>
    </comment>
    <comment ref="Q27" authorId="0" shapeId="0" xr:uid="{C3BC2D28-BD72-472D-B94F-525B218A8D0B}">
      <text>
        <r>
          <rPr>
            <b/>
            <sz val="9"/>
            <color indexed="81"/>
            <rFont val="Tahoma"/>
            <charset val="1"/>
          </rPr>
          <t>Ronald Hernandez:</t>
        </r>
        <r>
          <rPr>
            <sz val="9"/>
            <color indexed="81"/>
            <rFont val="Tahoma"/>
            <charset val="1"/>
          </rPr>
          <t xml:space="preserve">
Zamara</t>
        </r>
      </text>
    </comment>
    <comment ref="M28" authorId="0" shapeId="0" xr:uid="{3D81982C-898D-4912-8BD6-CAEA3B945065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Karol ruiz</t>
        </r>
      </text>
    </comment>
    <comment ref="Q28" authorId="0" shapeId="0" xr:uid="{59B6F40D-4540-42A4-994A-857A3BAE62FE}">
      <text>
        <r>
          <rPr>
            <b/>
            <sz val="9"/>
            <color indexed="81"/>
            <rFont val="Tahoma"/>
            <charset val="1"/>
          </rPr>
          <t>Ronald Hernandez:</t>
        </r>
        <r>
          <rPr>
            <sz val="9"/>
            <color indexed="81"/>
            <rFont val="Tahoma"/>
            <charset val="1"/>
          </rPr>
          <t xml:space="preserve">
Martin Melendro</t>
        </r>
      </text>
    </comment>
    <comment ref="M29" authorId="0" shapeId="0" xr:uid="{C72D12F3-C4C5-460C-801D-76F0B64772CF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Samuel leyton
</t>
        </r>
      </text>
    </comment>
    <comment ref="Q29" authorId="0" shapeId="0" xr:uid="{4E9EAA29-C8DF-4C8D-A3B8-68F35D2138C8}">
      <text>
        <r>
          <rPr>
            <b/>
            <sz val="9"/>
            <color indexed="81"/>
            <rFont val="Tahoma"/>
            <charset val="1"/>
          </rPr>
          <t>Ronald Hernandez:</t>
        </r>
        <r>
          <rPr>
            <sz val="9"/>
            <color indexed="81"/>
            <rFont val="Tahoma"/>
            <charset val="1"/>
          </rPr>
          <t xml:space="preserve">
Evan </t>
        </r>
      </text>
    </comment>
    <comment ref="M30" authorId="0" shapeId="0" xr:uid="{B49DF1CB-0B22-4157-82F9-22A3A2557B60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Martin Montilla
</t>
        </r>
      </text>
    </comment>
    <comment ref="Q30" authorId="1" shapeId="0" xr:uid="{89B39019-369B-473E-B117-5178D15AA95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juan martin 
</t>
        </r>
      </text>
    </comment>
    <comment ref="BI30" authorId="0" shapeId="0" xr:uid="{FA290125-9B72-483B-917A-4C8C432234BC}">
      <text>
        <r>
          <rPr>
            <b/>
            <sz val="9"/>
            <color indexed="81"/>
            <rFont val="Tahoma"/>
            <charset val="1"/>
          </rPr>
          <t>Ronald Hernandez:</t>
        </r>
        <r>
          <rPr>
            <sz val="9"/>
            <color indexed="81"/>
            <rFont val="Tahoma"/>
            <charset val="1"/>
          </rPr>
          <t xml:space="preserve">
Sara</t>
        </r>
      </text>
    </comment>
    <comment ref="Q31" authorId="1" shapeId="0" xr:uid="{D2F7178A-8F33-4A3F-92E0-5FF13B33579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salome
</t>
        </r>
      </text>
    </comment>
    <comment ref="M32" authorId="0" shapeId="0" xr:uid="{5EF5E274-98C9-4311-B8A5-0A7D14C61608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Lyan
</t>
        </r>
      </text>
    </comment>
    <comment ref="Q32" authorId="0" shapeId="0" xr:uid="{9E4876C4-5053-4E48-A93A-EAEB2781F84E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Ariana </t>
        </r>
      </text>
    </comment>
    <comment ref="M33" authorId="0" shapeId="0" xr:uid="{8F4AE672-B6B9-4D11-B041-D7FCC923DFC3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Samantha
</t>
        </r>
      </text>
    </comment>
    <comment ref="M34" authorId="0" shapeId="0" xr:uid="{95876241-C7E2-493A-9AB7-BEC2FB6D7970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Lina
</t>
        </r>
      </text>
    </comment>
    <comment ref="M35" authorId="0" shapeId="0" xr:uid="{B25ED93C-FD82-4433-AEDE-EC9E4DA3DF3B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Josue Herrera 
</t>
        </r>
      </text>
    </comment>
    <comment ref="M36" authorId="0" shapeId="0" xr:uid="{20CA49C7-49EF-4C8D-A1C0-D862EF1A4719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Matteo Murillo
</t>
        </r>
      </text>
    </comment>
    <comment ref="M40" authorId="0" shapeId="0" xr:uid="{0A8B7328-25E3-40D2-9338-CD37E7F47E6A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Juan pablo loaisa
</t>
        </r>
      </text>
    </comment>
    <comment ref="M41" authorId="0" shapeId="0" xr:uid="{53A10423-CF16-4B68-BA30-1CB0E7A4D8CF}">
      <text>
        <r>
          <rPr>
            <b/>
            <sz val="9"/>
            <color indexed="81"/>
            <rFont val="Tahoma"/>
            <family val="2"/>
          </rPr>
          <t>Ronald Hernandez
maria jose</t>
        </r>
      </text>
    </comment>
    <comment ref="M44" authorId="0" shapeId="0" xr:uid="{B16B3C14-3FBB-447C-A4B8-040A5CD899F2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Juylian santamaria  
</t>
        </r>
      </text>
    </comment>
    <comment ref="M45" authorId="0" shapeId="0" xr:uid="{BBB7CE93-1970-4FE0-9998-B96FF5B3E88B}">
      <text>
        <r>
          <rPr>
            <b/>
            <sz val="9"/>
            <color indexed="81"/>
            <rFont val="Tahoma"/>
            <family val="2"/>
          </rPr>
          <t>Ronald Hernandez:</t>
        </r>
        <r>
          <rPr>
            <sz val="9"/>
            <color indexed="81"/>
            <rFont val="Tahoma"/>
            <family val="2"/>
          </rPr>
          <t xml:space="preserve">
Ana maria Urrea 
</t>
        </r>
      </text>
    </comment>
    <comment ref="M48" authorId="0" shapeId="0" xr:uid="{923D2599-F5C7-481A-A5EF-C1E45321F973}">
      <text>
        <r>
          <rPr>
            <b/>
            <sz val="9"/>
            <color indexed="81"/>
            <rFont val="Tahoma"/>
            <family val="2"/>
          </rPr>
          <t xml:space="preserve">Ronald Hernandez
Mathias Muñoz
</t>
        </r>
      </text>
    </comment>
    <comment ref="M51" authorId="0" shapeId="0" xr:uid="{287C5E1A-4821-412F-9049-163B96634913}">
      <text>
        <r>
          <rPr>
            <b/>
            <sz val="9"/>
            <color indexed="81"/>
            <rFont val="Tahoma"/>
            <family val="2"/>
          </rPr>
          <t xml:space="preserve">Ronald Hernandez
Mathias Muñoz
</t>
        </r>
      </text>
    </comment>
  </commentList>
</comments>
</file>

<file path=xl/sharedStrings.xml><?xml version="1.0" encoding="utf-8"?>
<sst xmlns="http://schemas.openxmlformats.org/spreadsheetml/2006/main" count="861" uniqueCount="332">
  <si>
    <t xml:space="preserve">CATEGORIA </t>
  </si>
  <si>
    <t>MINI 5 A 12 AÑOS</t>
  </si>
  <si>
    <t>DEPORTISTA</t>
  </si>
  <si>
    <t xml:space="preserve">SANTIAGO ZARTA ARCINIEGAS </t>
  </si>
  <si>
    <t>MAYORES AMATEUR</t>
  </si>
  <si>
    <t xml:space="preserve">CATEGORIAS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</si>
  <si>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</si>
  <si>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</si>
  <si>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</si>
  <si>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</si>
  <si>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</si>
  <si>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</si>
  <si>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</si>
  <si>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</si>
  <si>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</si>
  <si>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</si>
  <si>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</si>
  <si>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SANTIAGO ZARTA ARCINIEGAS</t>
  </si>
  <si>
    <t>S</t>
  </si>
  <si>
    <t>M</t>
  </si>
  <si>
    <t xml:space="preserve">UNIFORME ENTRENAMIENTOS </t>
  </si>
  <si>
    <t xml:space="preserve">abono </t>
  </si>
  <si>
    <t>Talla</t>
  </si>
  <si>
    <t>Genero</t>
  </si>
  <si>
    <t>Gabriela Morales Rivera</t>
  </si>
  <si>
    <t xml:space="preserve">Felipe Cano Flores </t>
  </si>
  <si>
    <t>XL</t>
  </si>
  <si>
    <t>Andres Molina</t>
  </si>
  <si>
    <t>TOTAL</t>
  </si>
  <si>
    <t>jenny sofia mahecha</t>
  </si>
  <si>
    <t xml:space="preserve">sandra </t>
  </si>
  <si>
    <t>yineth</t>
  </si>
  <si>
    <t>L</t>
  </si>
  <si>
    <t>Lina Villada</t>
  </si>
  <si>
    <t>Daniel Jose Laiseca Rendon</t>
  </si>
  <si>
    <t>Isabella Lopez Cruz</t>
  </si>
  <si>
    <t>no</t>
  </si>
  <si>
    <t>Helena Obando Caicedo</t>
  </si>
  <si>
    <t xml:space="preserve">Miguel Ángel Patiño Pinilla </t>
  </si>
  <si>
    <t>Estado zammy</t>
  </si>
  <si>
    <t>N.A</t>
  </si>
  <si>
    <t xml:space="preserve">Estado </t>
  </si>
  <si>
    <t>Vendido</t>
  </si>
  <si>
    <t>vendido</t>
  </si>
  <si>
    <t>RECIBIDO</t>
  </si>
  <si>
    <t>PAGO</t>
  </si>
  <si>
    <t>DEBE</t>
  </si>
  <si>
    <t xml:space="preserve">Daniel Laiseca Rendon </t>
  </si>
  <si>
    <t>Jeronimo Caicedo Lopez</t>
  </si>
  <si>
    <t>Isabella Caicedo Lopez</t>
  </si>
  <si>
    <t>sofia</t>
  </si>
  <si>
    <t xml:space="preserve">jose </t>
  </si>
  <si>
    <t>emiliano</t>
  </si>
  <si>
    <t>David Felipe Urrego Torres</t>
  </si>
  <si>
    <t>melany</t>
  </si>
  <si>
    <t>gabriela grimaldo</t>
  </si>
  <si>
    <t>F</t>
  </si>
  <si>
    <t>juan jose monroy Montilla</t>
  </si>
  <si>
    <t>Martin Zamudio  Montilla</t>
  </si>
  <si>
    <t>Germán Jacobo Ortega Gómez</t>
  </si>
  <si>
    <t>Lina María Cuéllar Muñoz</t>
  </si>
  <si>
    <t>Karol Dayana Ruiz Oviedo</t>
  </si>
  <si>
    <t>Grande</t>
  </si>
  <si>
    <t>Mediano</t>
  </si>
  <si>
    <t>Maletin</t>
  </si>
  <si>
    <t>Anderson Hernandez</t>
  </si>
  <si>
    <t xml:space="preserve">Enrique Triana </t>
  </si>
  <si>
    <t xml:space="preserve">Samantha López rojas </t>
  </si>
  <si>
    <t>Celeste Montilla</t>
  </si>
  <si>
    <t>lorena Gonzales</t>
  </si>
  <si>
    <t>Santiago Montoya Contreras</t>
  </si>
  <si>
    <t xml:space="preserve">Josué Herrera Payares </t>
  </si>
  <si>
    <t>JUVENIL Y PREJUVENILES</t>
  </si>
  <si>
    <t>Victoria Gomez</t>
  </si>
  <si>
    <t xml:space="preserve">Samuel leyton Guzmán </t>
  </si>
  <si>
    <t>s</t>
  </si>
  <si>
    <t xml:space="preserve">María José aguirre villanueva </t>
  </si>
  <si>
    <t>José Daniel Mosquera Sánchez</t>
  </si>
  <si>
    <t xml:space="preserve">Nicolás Silva Núñez  </t>
  </si>
  <si>
    <t>Luciana Carrillo Bedoya</t>
  </si>
  <si>
    <t>Julián Camilo Santamaría Camacho</t>
  </si>
  <si>
    <t>Matteo Murillo Herrera</t>
  </si>
  <si>
    <t>JUVENILES Y PREJUVENILES</t>
  </si>
  <si>
    <t>Numero de Uniforme</t>
  </si>
  <si>
    <t>SOLO PETO</t>
  </si>
  <si>
    <t>Lorenzo</t>
  </si>
  <si>
    <t>Jerónimo hurtado velez</t>
  </si>
  <si>
    <t xml:space="preserve">Jerónimo hurtado velez </t>
  </si>
  <si>
    <t xml:space="preserve">Juan pablo gomez loaisa </t>
  </si>
  <si>
    <t>Lyan Parra Ramirez</t>
  </si>
  <si>
    <t>Ana María Urrea Prieto</t>
  </si>
  <si>
    <t>jose david</t>
  </si>
  <si>
    <t>Peto Lorenzo</t>
  </si>
  <si>
    <t>maria helena pinto arroyo</t>
  </si>
  <si>
    <t xml:space="preserve">jacobo ferreira Bonilla </t>
  </si>
  <si>
    <t>maria jose</t>
  </si>
  <si>
    <t>isabella</t>
  </si>
  <si>
    <t>Mathias Muñoz cruz</t>
  </si>
  <si>
    <t>Recibido</t>
  </si>
  <si>
    <t>Maria Jose Barrientos Vergara</t>
  </si>
  <si>
    <t xml:space="preserve">Rafaela </t>
  </si>
  <si>
    <t>Debe 85</t>
  </si>
  <si>
    <t>jeronimo hurtado</t>
  </si>
  <si>
    <t>Debe</t>
  </si>
  <si>
    <t xml:space="preserve">rafaela </t>
  </si>
  <si>
    <t>juasn jose</t>
  </si>
  <si>
    <t>SHAQ</t>
  </si>
  <si>
    <t>EDWIN</t>
  </si>
  <si>
    <t xml:space="preserve">juan jose carrion </t>
  </si>
  <si>
    <t>jacobo ferreira</t>
  </si>
  <si>
    <t>Pago</t>
  </si>
  <si>
    <t>Jacobo ferreira</t>
  </si>
  <si>
    <t xml:space="preserve">Nombre espalda </t>
  </si>
  <si>
    <t xml:space="preserve">estado </t>
  </si>
  <si>
    <t xml:space="preserve">valor </t>
  </si>
  <si>
    <t>Femenino</t>
  </si>
  <si>
    <t>Gabriela</t>
  </si>
  <si>
    <t>Masculino</t>
  </si>
  <si>
    <t>Migue</t>
  </si>
  <si>
    <t>Mama De Migue</t>
  </si>
  <si>
    <t xml:space="preserve">Daniel </t>
  </si>
  <si>
    <t>Viki</t>
  </si>
  <si>
    <t>Daiana</t>
  </si>
  <si>
    <t>Helena</t>
  </si>
  <si>
    <t>Sebas</t>
  </si>
  <si>
    <t>Santiago</t>
  </si>
  <si>
    <t>Numero de Camiseta</t>
  </si>
  <si>
    <t>Coach</t>
  </si>
  <si>
    <t>XXL</t>
  </si>
  <si>
    <t>18 meses</t>
  </si>
  <si>
    <t>Martin</t>
  </si>
  <si>
    <t>Numero de Uniforme y camiseta</t>
  </si>
  <si>
    <t>Talla Uniforme</t>
  </si>
  <si>
    <t>Talla Camiseta P.</t>
  </si>
  <si>
    <t>SEBASTIAN</t>
  </si>
  <si>
    <t>SALCEDO</t>
  </si>
  <si>
    <t>BETO</t>
  </si>
  <si>
    <t>ERICK</t>
  </si>
  <si>
    <t>XXXL</t>
  </si>
  <si>
    <t>DUVAN</t>
  </si>
  <si>
    <t>MANUEL</t>
  </si>
  <si>
    <t>FLACO VIANA</t>
  </si>
  <si>
    <t>GALO</t>
  </si>
  <si>
    <t>OFF SEASON 
BOCA</t>
  </si>
  <si>
    <t>ZABALA</t>
  </si>
  <si>
    <t>JORGE Q.</t>
  </si>
  <si>
    <t>ANA LU.</t>
  </si>
  <si>
    <t>OBANDO</t>
  </si>
  <si>
    <t>CAROLINA</t>
  </si>
  <si>
    <t>KIKE</t>
  </si>
  <si>
    <t>SHIN.</t>
  </si>
  <si>
    <t>LIONS</t>
  </si>
  <si>
    <t>RESERVA</t>
  </si>
  <si>
    <t>MASCULINO</t>
  </si>
  <si>
    <t>Numero de  camiseta</t>
  </si>
  <si>
    <t>femenino</t>
  </si>
  <si>
    <t>Camiseta p. ESCUELA Lions/NO LLEVA LOGOS</t>
  </si>
  <si>
    <t>REY</t>
  </si>
  <si>
    <t xml:space="preserve">TOTAL MASCULINO </t>
  </si>
  <si>
    <t>UNIFORMES</t>
  </si>
  <si>
    <t>CAMISETAS P</t>
  </si>
  <si>
    <t>Saldo</t>
  </si>
  <si>
    <t>Abono</t>
  </si>
  <si>
    <t xml:space="preserve">Camisetas Presentacion Femenino
</t>
  </si>
  <si>
    <t xml:space="preserve">Masculino </t>
  </si>
  <si>
    <t>Lions</t>
  </si>
  <si>
    <t>JDTP</t>
  </si>
  <si>
    <t>uniforme antiguo Entrenamiento</t>
  </si>
  <si>
    <t xml:space="preserve">uniforme Nuevo Competencia </t>
  </si>
  <si>
    <t>debe</t>
  </si>
  <si>
    <t>MAsculino</t>
  </si>
  <si>
    <t>PAgo</t>
  </si>
  <si>
    <t xml:space="preserve">Emilia </t>
  </si>
  <si>
    <t>Emilia</t>
  </si>
  <si>
    <t xml:space="preserve">deuda </t>
  </si>
  <si>
    <t>abono</t>
  </si>
  <si>
    <t>saldo</t>
  </si>
  <si>
    <t>escuela</t>
  </si>
  <si>
    <t>mayores</t>
  </si>
  <si>
    <t>OK</t>
  </si>
  <si>
    <t xml:space="preserve">uniforme y camiseta LIONS Mayores CON LOGO PATROCINADORES
</t>
  </si>
  <si>
    <t>observacion</t>
  </si>
  <si>
    <t>llego con numero respaldo 13</t>
  </si>
  <si>
    <t>llego con numero respaldo 14</t>
  </si>
  <si>
    <t>llego con numero respaldo 17</t>
  </si>
  <si>
    <t>llego talla L</t>
  </si>
  <si>
    <t>llego con el #3 y talla M</t>
  </si>
  <si>
    <t>Llego uniforme talla XL</t>
  </si>
  <si>
    <t>llego con numero respaldo 5</t>
  </si>
  <si>
    <t>Pipe</t>
  </si>
  <si>
    <t>Emilia Perdomo Trujillo</t>
  </si>
  <si>
    <t>ENERO</t>
  </si>
  <si>
    <t xml:space="preserve">Juan Diego Vargas Herrera </t>
  </si>
  <si>
    <t>Paula Gisele castañeda castro</t>
  </si>
  <si>
    <t>Sara Gabriela Aristizabal Ramírez</t>
  </si>
  <si>
    <t>Shin</t>
  </si>
  <si>
    <t>Muñoz</t>
  </si>
  <si>
    <t>Celeste</t>
  </si>
  <si>
    <t>SAMUEL LEYTON</t>
  </si>
  <si>
    <t>Leyton</t>
  </si>
  <si>
    <t>LuFer</t>
  </si>
  <si>
    <t>ISA</t>
  </si>
  <si>
    <t xml:space="preserve">Sara Isabella Agudelo Sanchez </t>
  </si>
  <si>
    <t>Luisa Fernanda Buitrago Molina</t>
  </si>
  <si>
    <t xml:space="preserve">Matías Arteaga Peláez </t>
  </si>
  <si>
    <t>Juan Diego Rojas</t>
  </si>
  <si>
    <t>EMMANUEL R.G</t>
  </si>
  <si>
    <t>ROJAS</t>
  </si>
  <si>
    <t>Mama De Dani</t>
  </si>
  <si>
    <t>Paula</t>
  </si>
  <si>
    <t>Papa de Emilia</t>
  </si>
  <si>
    <t>Mama de Emilia</t>
  </si>
  <si>
    <t>Mama De Paula</t>
  </si>
  <si>
    <t>Laura</t>
  </si>
  <si>
    <t xml:space="preserve">Coach </t>
  </si>
  <si>
    <t>0/04/2026</t>
  </si>
  <si>
    <t>María José Cortés Forero</t>
  </si>
  <si>
    <t>Jugador</t>
  </si>
  <si>
    <t xml:space="preserve">CATEGORIA U9 PERSONALIZADOS </t>
  </si>
  <si>
    <t>DANIEL LAISECA</t>
  </si>
  <si>
    <t>MIGUEL PATIÑO</t>
  </si>
  <si>
    <t>GABRIELA GRIMALDO</t>
  </si>
  <si>
    <t>VICTORIA MARIN</t>
  </si>
  <si>
    <t>SEBASTIAN MARIN</t>
  </si>
  <si>
    <t>MARIA HELENA</t>
  </si>
  <si>
    <t>SANTIAGO MONTOYA</t>
  </si>
  <si>
    <t>JUAN TORRES</t>
  </si>
  <si>
    <t>FELIPE CANO</t>
  </si>
  <si>
    <t>EMILIA PERDOMO</t>
  </si>
  <si>
    <t xml:space="preserve">MARTIN URIBE </t>
  </si>
  <si>
    <t>JUAN D. VARGAS</t>
  </si>
  <si>
    <t>LUISA BUITRAGO</t>
  </si>
  <si>
    <t>MATIAS ARTEAGA</t>
  </si>
  <si>
    <t>SARA ARISTIZABAL</t>
  </si>
  <si>
    <t>THIAGO DIAZ</t>
  </si>
  <si>
    <t>ISABELLA AGUDELO</t>
  </si>
  <si>
    <t xml:space="preserve">MATHIAS MUÑOZ </t>
  </si>
  <si>
    <t>CELESTE MONTILLA</t>
  </si>
  <si>
    <t>SEBASTIAN MURILLO</t>
  </si>
  <si>
    <t xml:space="preserve">NICOLAS SILVA </t>
  </si>
  <si>
    <t>EMMANUEL RODRIGUEZ</t>
  </si>
  <si>
    <t>JUAN ROJAS</t>
  </si>
  <si>
    <t>MIGUEL RODRIGUEZ</t>
  </si>
  <si>
    <t>PAULA CASTRO</t>
  </si>
  <si>
    <t xml:space="preserve">CATEGORIA U11 PERSONALIZADOS </t>
  </si>
  <si>
    <t>,</t>
  </si>
  <si>
    <t xml:space="preserve">CATEGORIA JUVENIL MASC. PERSONALIZADOS </t>
  </si>
  <si>
    <t xml:space="preserve">CATEGORIA  JUVENIL FEM. PERSONALIZADOS </t>
  </si>
  <si>
    <t>ENTRENAMIENTO LIONS</t>
  </si>
  <si>
    <t>N.a</t>
  </si>
  <si>
    <t>Daniel laiseca</t>
  </si>
  <si>
    <t>larura reendon</t>
  </si>
  <si>
    <t>saldo 30mil</t>
  </si>
  <si>
    <t>debe 70mil</t>
  </si>
  <si>
    <t xml:space="preserve">Papa de Dani </t>
  </si>
  <si>
    <t>THIAGO</t>
  </si>
  <si>
    <t>JUAN DIEGO ROJAS</t>
  </si>
  <si>
    <t>FEMENINO</t>
  </si>
  <si>
    <t>Mama de Vicky G. J.</t>
  </si>
  <si>
    <t>ESTEBAN</t>
  </si>
  <si>
    <t>camiseta p. papa</t>
  </si>
  <si>
    <t>uniforme dani</t>
  </si>
  <si>
    <t>peto majo</t>
  </si>
  <si>
    <t xml:space="preserve">peto lau </t>
  </si>
  <si>
    <t>Oscar Iván Suárez Hurtado</t>
  </si>
  <si>
    <t>Maria jose Cortes</t>
  </si>
  <si>
    <t>JUANDI</t>
  </si>
  <si>
    <t xml:space="preserve">Juan diego Vargas </t>
  </si>
  <si>
    <t xml:space="preserve">Esteban suarez </t>
  </si>
  <si>
    <t xml:space="preserve">Juan Esteban Suárez Hernández </t>
  </si>
  <si>
    <t>No asistio</t>
  </si>
  <si>
    <t>Oscar Suarez</t>
  </si>
  <si>
    <t>Darell</t>
  </si>
  <si>
    <t>Maria Helena</t>
  </si>
  <si>
    <t xml:space="preserve">Sara María Ramos Durán </t>
  </si>
  <si>
    <t>DARELL LOZANO RUIZ</t>
  </si>
  <si>
    <t>Jacobo Rodríguez Cázares</t>
  </si>
  <si>
    <t>Caleth Manuel polo lozano</t>
  </si>
  <si>
    <t>Samara velasquez rico</t>
  </si>
  <si>
    <t>caleth polo</t>
  </si>
  <si>
    <t xml:space="preserve">jacobo rodriguez </t>
  </si>
  <si>
    <t>Sara ramos</t>
  </si>
  <si>
    <t>darell</t>
  </si>
  <si>
    <t>Martin uribe urueña</t>
  </si>
  <si>
    <t xml:space="preserve">Martín Daniel Melendro </t>
  </si>
  <si>
    <t xml:space="preserve">Evan Salcedo Sanabria </t>
  </si>
  <si>
    <t>Maria jose varon</t>
  </si>
  <si>
    <t>samara</t>
  </si>
  <si>
    <t>Martin melendro</t>
  </si>
  <si>
    <t>NA</t>
  </si>
  <si>
    <t>Caleth</t>
  </si>
  <si>
    <t>n.a</t>
  </si>
  <si>
    <t>Juan Pablo</t>
  </si>
  <si>
    <t>juan pablo gomez</t>
  </si>
  <si>
    <t>PAPA DE LUFER</t>
  </si>
  <si>
    <t>MAMA DE LUFER</t>
  </si>
  <si>
    <t>Evan Salcedo</t>
  </si>
  <si>
    <t>Numero espalda</t>
  </si>
  <si>
    <t>Salomé varón manchola</t>
  </si>
  <si>
    <t>Guadalupe Trujillo Bautista</t>
  </si>
  <si>
    <t xml:space="preserve">Juan Martín Almanza Ospitia </t>
  </si>
  <si>
    <t>Ariana Valentina Rondón Ramirez</t>
  </si>
  <si>
    <t>Jeronimo rojas</t>
  </si>
  <si>
    <t>asistio</t>
  </si>
  <si>
    <t>Maria camila gallo Molina</t>
  </si>
  <si>
    <t>Juan martin</t>
  </si>
  <si>
    <t>Salome Varon</t>
  </si>
  <si>
    <t>Ariana Rondon</t>
  </si>
  <si>
    <t>Evan</t>
  </si>
  <si>
    <t>Majo</t>
  </si>
  <si>
    <t>Ana Maria</t>
  </si>
  <si>
    <t>Ana maria urrea</t>
  </si>
  <si>
    <t>Ariana</t>
  </si>
  <si>
    <t xml:space="preserve">Leonard </t>
  </si>
  <si>
    <t xml:space="preserve">ariana Rondon </t>
  </si>
  <si>
    <t>Leonard mosquera</t>
  </si>
  <si>
    <t xml:space="preserve">Mama de celeste </t>
  </si>
  <si>
    <t>Fan N°1 de celeste</t>
  </si>
  <si>
    <t>Wilmar Santiago Ramírez Patarroyo</t>
  </si>
  <si>
    <t>Martín Eduardo Ramirez Patarroyo</t>
  </si>
  <si>
    <t>David Guerrero</t>
  </si>
  <si>
    <t>Sarai Julieta Sánchez Carvajal</t>
  </si>
  <si>
    <t>Maria Jose Varon Molano</t>
  </si>
  <si>
    <t>Jeronimo Rojas Bedoya</t>
  </si>
  <si>
    <t>Samuel Camilo Arias Castillo</t>
  </si>
  <si>
    <t xml:space="preserve">juan esteban romero  </t>
  </si>
  <si>
    <t>Gabriel Andres Botero Castellanos</t>
  </si>
  <si>
    <t>Sara Sofia Molina Bonilla</t>
  </si>
  <si>
    <t>no  asistio</t>
  </si>
  <si>
    <t>No habia ingresado</t>
  </si>
  <si>
    <t>No registra pago</t>
  </si>
  <si>
    <t>Miguel Ángel Patiño Pinilla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</si>
</sst>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/>
    <xf numFmtId="0" fontId="5" fillId="7" borderId="8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/>
    <xf numFmtId="0" fontId="0" fillId="0" borderId="1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9" borderId="1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8" borderId="9" xfId="0" applyNumberForma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0" fillId="8" borderId="24" xfId="0" applyFill="1" applyBorder="1"/>
    <xf numFmtId="0" fontId="0" fillId="7" borderId="10" xfId="0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2" xfId="0" applyBorder="1" applyAlignment="1">
      <alignment horizontal="left"/>
    </xf>
    <xf numFmtId="0" fontId="0" fillId="0" borderId="2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5" fillId="7" borderId="47" xfId="0" applyFont="1" applyFill="1" applyBorder="1" applyAlignment="1">
      <alignment horizontal="center" vertical="center"/>
    </xf>
    <xf numFmtId="0" fontId="0" fillId="0" borderId="11" xfId="0" applyBorder="1"/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 vertical="center"/>
    </xf>
    <xf numFmtId="164" fontId="0" fillId="8" borderId="10" xfId="0" applyNumberForma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0" fillId="8" borderId="1" xfId="0" applyFill="1" applyBorder="1"/>
    <xf numFmtId="164" fontId="10" fillId="0" borderId="1" xfId="0" applyNumberFormat="1" applyFont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5" xfId="0" applyFill="1" applyBorder="1"/>
    <xf numFmtId="0" fontId="0" fillId="8" borderId="6" xfId="0" applyFill="1" applyBorder="1"/>
    <xf numFmtId="164" fontId="0" fillId="12" borderId="41" xfId="0" applyNumberFormat="1" applyFill="1" applyBorder="1" applyAlignment="1">
      <alignment horizontal="center" vertical="center"/>
    </xf>
    <xf numFmtId="164" fontId="0" fillId="12" borderId="3" xfId="0" applyNumberFormat="1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0" fillId="14" borderId="23" xfId="0" applyFill="1" applyBorder="1" applyAlignment="1">
      <alignment horizontal="center"/>
    </xf>
    <xf numFmtId="0" fontId="9" fillId="10" borderId="23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13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9" xfId="0" applyBorder="1"/>
    <xf numFmtId="0" fontId="0" fillId="8" borderId="29" xfId="0" applyFill="1" applyBorder="1"/>
    <xf numFmtId="0" fontId="0" fillId="0" borderId="29" xfId="0" applyBorder="1" applyAlignment="1">
      <alignment horizontal="center"/>
    </xf>
    <xf numFmtId="0" fontId="0" fillId="14" borderId="35" xfId="0" applyFill="1" applyBorder="1" applyAlignment="1">
      <alignment horizontal="center"/>
    </xf>
    <xf numFmtId="0" fontId="9" fillId="10" borderId="34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24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64" fontId="0" fillId="0" borderId="2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1" fillId="6" borderId="51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1" fillId="6" borderId="4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0" fillId="11" borderId="3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164" fontId="0" fillId="12" borderId="27" xfId="0" applyNumberFormat="1" applyFill="1" applyBorder="1" applyAlignment="1">
      <alignment horizontal="center" vertical="center"/>
    </xf>
    <xf numFmtId="164" fontId="0" fillId="12" borderId="11" xfId="0" applyNumberForma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 wrapText="1"/>
    </xf>
    <xf numFmtId="0" fontId="0" fillId="12" borderId="26" xfId="0" applyFill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1" fillId="0" borderId="31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0" fillId="0" borderId="30" xfId="0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4" fontId="0" fillId="12" borderId="8" xfId="0" applyNumberForma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164" fontId="10" fillId="12" borderId="1" xfId="0" applyNumberFormat="1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37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5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1" fillId="0" borderId="45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3" fillId="0" borderId="15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32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0" borderId="37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164" fontId="0" fillId="8" borderId="10" xfId="0" applyNumberFormat="1" applyFill="1" applyBorder="1" applyAlignment="1">
      <alignment horizontal="center" vertical="center"/>
    </xf>
    <xf numFmtId="164" fontId="0" fillId="8" borderId="11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26" xfId="0" applyFill="1" applyBorder="1" applyAlignment="1">
      <alignment horizontal="center"/>
    </xf>
    <xf numFmtId="0" fontId="0" fillId="8" borderId="36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41" xfId="0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43" xfId="0" applyBorder="1" applyAlignment="1">
      <alignment vertical="center"/>
    </xf>
    <xf numFmtId="0" fontId="0" fillId="0" borderId="20" xfId="0" applyBorder="1" applyAlignment="1">
      <alignment horizontal="left" vertic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10" borderId="2" xfId="0" applyNumberFormat="1" applyFill="1" applyBorder="1" applyAlignment="1">
      <alignment horizontal="center" vertical="center"/>
    </xf>
    <xf numFmtId="14" fontId="0" fillId="10" borderId="2" xfId="0" applyNumberForma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1" fillId="10" borderId="7" xfId="0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5E3A3-87EF-461D-93EA-1FE918CE49D7}">
  <sheetPr>
    <tabColor theme="9" tint="0.39997558519241921"/>
  </sheetPr>
  <dimension ref="B4:T124"/>
  <sheetViews>
    <sheetView tabSelected="1" zoomScale="85" zoomScaleNormal="80" workbookViewId="0">
      <pane ySplit="6" topLeftCell="A7" activePane="bottomLeft" state="frozen"/>
      <selection pane="bottomLeft" activeCell="S30" sqref="S30"/>
    </sheetView>
  </sheetViews>
  <sheetFormatPr baseColWidth="10" defaultRowHeight="15" x14ac:dyDescent="0.25"/>
  <cols>
    <col min="1" max="1" width="11.42578125" style="1"/>
    <col min="2" max="2" width="16.42578125" style="1" customWidth="1"/>
    <col min="3" max="3" width="45.140625" style="24" customWidth="1"/>
    <col min="4" max="5" width="11.42578125" style="1"/>
    <col min="6" max="6" width="11.5703125" style="1" bestFit="1" customWidth="1"/>
    <col min="7" max="19" width="11.42578125" style="1"/>
    <col min="20" max="20" width="19.42578125" style="1" bestFit="1" customWidth="1"/>
    <col min="21" max="16384" width="11.42578125" style="1"/>
  </cols>
  <sheetData>
    <row r="4" spans="2:20" ht="15.75" thickBot="1" x14ac:dyDescent="0.3"/>
    <row r="5" spans="2:20" ht="15.75" thickBot="1" x14ac:dyDescent="0.3">
      <c r="B5" s="185" t="s">
        <v>5</v>
      </c>
      <c r="C5" s="187" t="s">
        <v>2</v>
      </c>
      <c r="D5" s="189">
        <v>2026</v>
      </c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1"/>
    </row>
    <row r="6" spans="2:20" ht="15.75" thickBot="1" x14ac:dyDescent="0.3">
      <c r="B6" s="186"/>
      <c r="C6" s="188"/>
      <c r="D6" s="127" t="s">
        <v>191</v>
      </c>
      <c r="E6" s="138" t="s">
        <v>6</v>
      </c>
      <c r="F6" s="135" t="s">
        <v>7</v>
      </c>
      <c r="G6" s="136" t="s">
        <v>8</v>
      </c>
      <c r="H6" s="136" t="s">
        <v>9</v>
      </c>
      <c r="I6" s="136" t="s">
        <v>10</v>
      </c>
      <c r="J6" s="136" t="s">
        <v>11</v>
      </c>
      <c r="K6" s="136" t="s">
        <v>12</v>
      </c>
      <c r="L6" s="136" t="s">
        <v>13</v>
      </c>
      <c r="M6" s="136" t="s">
        <v>14</v>
      </c>
      <c r="N6" s="136" t="s">
        <v>15</v>
      </c>
      <c r="O6" s="137" t="s">
        <v>16</v>
      </c>
    </row>
    <row r="7" spans="2:20" x14ac:dyDescent="0.25">
      <c r="B7" s="179" t="s">
        <v>1</v>
      </c>
      <c r="C7" s="254" t="s">
        <v>17</v>
      </c>
      <c r="D7" s="273">
        <v>70000</v>
      </c>
      <c r="E7" s="26">
        <v>70000</v>
      </c>
      <c r="F7" s="26">
        <v>70000</v>
      </c>
      <c r="G7" s="26">
        <v>70000</v>
      </c>
      <c r="H7" s="59">
        <v>70000</v>
      </c>
      <c r="I7" s="59">
        <v>70000</v>
      </c>
      <c r="J7" s="26">
        <v>73000</v>
      </c>
      <c r="K7" s="283"/>
      <c r="L7" s="54"/>
      <c r="M7" s="54"/>
      <c r="N7" s="54"/>
      <c r="O7" s="71"/>
    </row>
    <row r="8" spans="2:20" x14ac:dyDescent="0.25">
      <c r="B8" s="180"/>
      <c r="C8" s="255"/>
      <c r="D8" s="274">
        <v>45678</v>
      </c>
      <c r="E8" s="3">
        <v>45694</v>
      </c>
      <c r="F8" s="3">
        <v>45726</v>
      </c>
      <c r="G8" s="3">
        <v>46120</v>
      </c>
      <c r="H8" s="3">
        <v>46150</v>
      </c>
      <c r="I8" s="3">
        <v>46185</v>
      </c>
      <c r="J8" s="3">
        <v>46217</v>
      </c>
      <c r="K8" s="253"/>
      <c r="L8" s="12"/>
      <c r="M8" s="12"/>
      <c r="N8" s="12"/>
      <c r="O8" s="72"/>
      <c r="S8" s="286"/>
      <c r="T8" s="252" t="s">
        <v>330</v>
      </c>
    </row>
    <row r="9" spans="2:20" x14ac:dyDescent="0.25">
      <c r="B9" s="180"/>
      <c r="C9" s="255" t="s">
        <v>331</v>
      </c>
      <c r="D9" s="275">
        <v>70000</v>
      </c>
      <c r="E9" s="2">
        <v>70000</v>
      </c>
      <c r="F9" s="4">
        <v>70000</v>
      </c>
      <c r="G9" s="2">
        <v>70000</v>
      </c>
      <c r="H9" s="253"/>
      <c r="I9" s="2">
        <v>73000</v>
      </c>
      <c r="J9" s="2">
        <v>73000</v>
      </c>
      <c r="K9" s="2">
        <v>70000</v>
      </c>
      <c r="L9" s="12"/>
      <c r="M9" s="12"/>
      <c r="N9" s="12"/>
      <c r="O9" s="72"/>
      <c r="S9" s="287"/>
      <c r="T9" s="252"/>
    </row>
    <row r="10" spans="2:20" x14ac:dyDescent="0.25">
      <c r="B10" s="180"/>
      <c r="C10" s="255"/>
      <c r="D10" s="274">
        <v>46043</v>
      </c>
      <c r="E10" s="3">
        <v>46085</v>
      </c>
      <c r="F10" s="3">
        <v>45747</v>
      </c>
      <c r="G10" s="3">
        <v>46147</v>
      </c>
      <c r="H10" s="253"/>
      <c r="I10" s="3">
        <v>46185</v>
      </c>
      <c r="J10" s="3">
        <v>46213</v>
      </c>
      <c r="K10" s="3">
        <v>46242</v>
      </c>
      <c r="L10" s="12"/>
      <c r="M10" s="12"/>
      <c r="N10" s="12"/>
      <c r="O10" s="72"/>
      <c r="S10" s="288"/>
      <c r="T10" s="252" t="s">
        <v>329</v>
      </c>
    </row>
    <row r="11" spans="2:20" x14ac:dyDescent="0.25">
      <c r="B11" s="180"/>
      <c r="C11" s="255" t="s">
        <v>47</v>
      </c>
      <c r="D11" s="275">
        <v>70000</v>
      </c>
      <c r="E11" s="2">
        <v>70000</v>
      </c>
      <c r="F11" s="4">
        <v>70000</v>
      </c>
      <c r="G11" s="4">
        <v>70000</v>
      </c>
      <c r="H11" s="2">
        <v>73000</v>
      </c>
      <c r="I11" s="4">
        <v>70000</v>
      </c>
      <c r="J11" s="2">
        <v>70000</v>
      </c>
      <c r="K11" s="253"/>
      <c r="L11" s="12"/>
      <c r="M11" s="12"/>
      <c r="N11" s="12"/>
      <c r="O11" s="72"/>
      <c r="S11" s="289"/>
      <c r="T11" s="252"/>
    </row>
    <row r="12" spans="2:20" x14ac:dyDescent="0.25">
      <c r="B12" s="180"/>
      <c r="C12" s="255"/>
      <c r="D12" s="274">
        <v>45677</v>
      </c>
      <c r="E12" s="3">
        <v>46083</v>
      </c>
      <c r="F12" s="3">
        <v>46106</v>
      </c>
      <c r="G12" s="3">
        <v>46133</v>
      </c>
      <c r="H12" s="3">
        <v>46165</v>
      </c>
      <c r="I12" s="3">
        <v>46204</v>
      </c>
      <c r="J12" s="3">
        <v>46205</v>
      </c>
      <c r="K12" s="253"/>
      <c r="L12" s="12"/>
      <c r="M12" s="12"/>
      <c r="N12" s="12"/>
      <c r="O12" s="72"/>
      <c r="S12" s="284"/>
      <c r="T12" s="252" t="s">
        <v>328</v>
      </c>
    </row>
    <row r="13" spans="2:20" x14ac:dyDescent="0.25">
      <c r="B13" s="180"/>
      <c r="C13" s="255" t="s">
        <v>78</v>
      </c>
      <c r="D13" s="275">
        <v>70000</v>
      </c>
      <c r="E13" s="2">
        <v>70000</v>
      </c>
      <c r="F13" s="4">
        <v>70000</v>
      </c>
      <c r="G13" s="4">
        <v>70000</v>
      </c>
      <c r="H13" s="253"/>
      <c r="I13" s="253"/>
      <c r="J13" s="2">
        <v>73000</v>
      </c>
      <c r="K13" s="2">
        <v>143000</v>
      </c>
      <c r="L13" s="12"/>
      <c r="M13" s="12"/>
      <c r="N13" s="12"/>
      <c r="O13" s="72"/>
      <c r="S13" s="285"/>
      <c r="T13" s="252"/>
    </row>
    <row r="14" spans="2:20" x14ac:dyDescent="0.25">
      <c r="B14" s="180"/>
      <c r="C14" s="255"/>
      <c r="D14" s="274">
        <v>46054</v>
      </c>
      <c r="E14" s="3">
        <v>46079</v>
      </c>
      <c r="F14" s="12" t="s">
        <v>215</v>
      </c>
      <c r="G14" s="3">
        <v>46146</v>
      </c>
      <c r="H14" s="253"/>
      <c r="I14" s="253"/>
      <c r="J14" s="3">
        <v>46205</v>
      </c>
      <c r="K14" s="3">
        <v>46234</v>
      </c>
      <c r="L14" s="12"/>
      <c r="M14" s="12"/>
      <c r="N14" s="12"/>
      <c r="O14" s="72"/>
    </row>
    <row r="15" spans="2:20" x14ac:dyDescent="0.25">
      <c r="B15" s="180"/>
      <c r="C15" s="255" t="s">
        <v>71</v>
      </c>
      <c r="D15" s="275">
        <v>70000</v>
      </c>
      <c r="E15" s="2">
        <v>70000</v>
      </c>
      <c r="F15" s="42"/>
      <c r="G15" s="4">
        <v>70000</v>
      </c>
      <c r="H15" s="42"/>
      <c r="I15" s="2">
        <v>73000</v>
      </c>
      <c r="J15" s="2">
        <v>73000</v>
      </c>
      <c r="K15" s="2">
        <v>70000</v>
      </c>
      <c r="L15" s="12"/>
      <c r="M15" s="12"/>
      <c r="N15" s="12"/>
      <c r="O15" s="72"/>
    </row>
    <row r="16" spans="2:20" x14ac:dyDescent="0.25">
      <c r="B16" s="180"/>
      <c r="C16" s="255"/>
      <c r="D16" s="274">
        <v>45688</v>
      </c>
      <c r="E16" s="3">
        <v>46085</v>
      </c>
      <c r="F16" s="42"/>
      <c r="G16" s="3">
        <v>46142</v>
      </c>
      <c r="H16" s="42"/>
      <c r="I16" s="3">
        <v>46174</v>
      </c>
      <c r="J16" s="3">
        <v>46214</v>
      </c>
      <c r="K16" s="3">
        <v>46239</v>
      </c>
      <c r="L16" s="12"/>
      <c r="M16" s="12"/>
      <c r="N16" s="12"/>
      <c r="O16" s="72"/>
    </row>
    <row r="17" spans="2:15" x14ac:dyDescent="0.25">
      <c r="B17" s="180"/>
      <c r="C17" s="255" t="s">
        <v>87</v>
      </c>
      <c r="D17" s="275">
        <v>70000</v>
      </c>
      <c r="E17" s="2">
        <v>70000</v>
      </c>
      <c r="F17" s="4">
        <v>70000</v>
      </c>
      <c r="G17" s="2">
        <v>70000</v>
      </c>
      <c r="H17" s="4">
        <v>70000</v>
      </c>
      <c r="I17" s="12" t="s">
        <v>36</v>
      </c>
      <c r="J17" s="2">
        <v>73000</v>
      </c>
      <c r="K17" s="2">
        <v>73000</v>
      </c>
      <c r="L17" s="12"/>
      <c r="M17" s="12"/>
      <c r="N17" s="12"/>
      <c r="O17" s="72"/>
    </row>
    <row r="18" spans="2:15" x14ac:dyDescent="0.25">
      <c r="B18" s="180"/>
      <c r="C18" s="255"/>
      <c r="D18" s="274">
        <v>46045</v>
      </c>
      <c r="E18" s="3">
        <v>46065</v>
      </c>
      <c r="F18" s="3">
        <v>45730</v>
      </c>
      <c r="G18" s="3">
        <v>46131</v>
      </c>
      <c r="H18" s="3">
        <v>46148</v>
      </c>
      <c r="I18" s="12" t="s">
        <v>303</v>
      </c>
      <c r="J18" s="3">
        <v>46217</v>
      </c>
      <c r="K18" s="3">
        <v>46239</v>
      </c>
      <c r="L18" s="12"/>
      <c r="M18" s="12"/>
      <c r="N18" s="12"/>
      <c r="O18" s="72"/>
    </row>
    <row r="19" spans="2:15" x14ac:dyDescent="0.25">
      <c r="B19" s="180"/>
      <c r="C19" s="255" t="s">
        <v>93</v>
      </c>
      <c r="D19" s="275">
        <v>70000</v>
      </c>
      <c r="E19" s="2">
        <v>70000</v>
      </c>
      <c r="F19" s="2">
        <v>70000</v>
      </c>
      <c r="G19" s="2">
        <v>70000</v>
      </c>
      <c r="H19" s="4">
        <v>70000</v>
      </c>
      <c r="I19" s="2">
        <v>73000</v>
      </c>
      <c r="J19" s="2">
        <v>73000</v>
      </c>
      <c r="K19" s="2">
        <v>73000</v>
      </c>
      <c r="L19" s="12"/>
      <c r="M19" s="12"/>
      <c r="N19" s="12"/>
      <c r="O19" s="72"/>
    </row>
    <row r="20" spans="2:15" x14ac:dyDescent="0.25">
      <c r="B20" s="180"/>
      <c r="C20" s="255"/>
      <c r="D20" s="274">
        <v>45678</v>
      </c>
      <c r="E20" s="3">
        <v>45693</v>
      </c>
      <c r="F20" s="3">
        <v>45722</v>
      </c>
      <c r="G20" s="3">
        <v>46126</v>
      </c>
      <c r="H20" s="3">
        <v>46147</v>
      </c>
      <c r="I20" s="3">
        <v>46175</v>
      </c>
      <c r="J20" s="3">
        <v>46217</v>
      </c>
      <c r="K20" s="3">
        <v>46241</v>
      </c>
      <c r="L20" s="12"/>
      <c r="M20" s="12"/>
      <c r="N20" s="12"/>
      <c r="O20" s="72"/>
    </row>
    <row r="21" spans="2:15" x14ac:dyDescent="0.25">
      <c r="B21" s="180"/>
      <c r="C21" s="255" t="s">
        <v>94</v>
      </c>
      <c r="D21" s="275">
        <v>70000</v>
      </c>
      <c r="E21" s="2">
        <v>70000</v>
      </c>
      <c r="F21" s="4">
        <v>70000</v>
      </c>
      <c r="G21" s="4">
        <v>70000</v>
      </c>
      <c r="H21" s="4">
        <v>70000</v>
      </c>
      <c r="I21" s="2">
        <v>73000</v>
      </c>
      <c r="J21" s="2">
        <v>73000</v>
      </c>
      <c r="K21" s="2">
        <v>73000</v>
      </c>
      <c r="L21" s="12"/>
      <c r="M21" s="12"/>
      <c r="N21" s="12"/>
      <c r="O21" s="72"/>
    </row>
    <row r="22" spans="2:15" x14ac:dyDescent="0.25">
      <c r="B22" s="180"/>
      <c r="C22" s="255"/>
      <c r="D22" s="274">
        <v>45670</v>
      </c>
      <c r="E22" s="3">
        <v>45726</v>
      </c>
      <c r="F22" s="3">
        <v>45753</v>
      </c>
      <c r="G22" s="3">
        <v>46146</v>
      </c>
      <c r="H22" s="3">
        <v>46146</v>
      </c>
      <c r="I22" s="3">
        <v>46175</v>
      </c>
      <c r="J22" s="3">
        <v>46205</v>
      </c>
      <c r="K22" s="3">
        <v>46238</v>
      </c>
      <c r="L22" s="12"/>
      <c r="M22" s="12"/>
      <c r="N22" s="12"/>
      <c r="O22" s="72"/>
    </row>
    <row r="23" spans="2:15" x14ac:dyDescent="0.25">
      <c r="B23" s="180"/>
      <c r="C23" s="255" t="s">
        <v>283</v>
      </c>
      <c r="D23" s="276"/>
      <c r="E23" s="2">
        <v>70000</v>
      </c>
      <c r="F23" s="4">
        <v>70000</v>
      </c>
      <c r="G23" s="2">
        <v>70000</v>
      </c>
      <c r="H23" s="4">
        <v>70000</v>
      </c>
      <c r="I23" s="42"/>
      <c r="J23" s="253"/>
      <c r="K23" s="12">
        <v>70000</v>
      </c>
      <c r="L23" s="12"/>
      <c r="M23" s="12"/>
      <c r="N23" s="12"/>
      <c r="O23" s="72"/>
    </row>
    <row r="24" spans="2:15" x14ac:dyDescent="0.25">
      <c r="B24" s="180"/>
      <c r="C24" s="255"/>
      <c r="D24" s="276"/>
      <c r="E24" s="3">
        <v>45711</v>
      </c>
      <c r="F24" s="3">
        <v>45732</v>
      </c>
      <c r="G24" s="3">
        <v>45732</v>
      </c>
      <c r="H24" s="3">
        <v>46147</v>
      </c>
      <c r="I24" s="42"/>
      <c r="J24" s="253"/>
      <c r="K24" s="3">
        <v>46234</v>
      </c>
      <c r="L24" s="12"/>
      <c r="M24" s="12"/>
      <c r="N24" s="12"/>
      <c r="O24" s="72"/>
    </row>
    <row r="25" spans="2:15" x14ac:dyDescent="0.25">
      <c r="B25" s="180"/>
      <c r="C25" s="255" t="s">
        <v>190</v>
      </c>
      <c r="D25" s="275">
        <v>70000</v>
      </c>
      <c r="E25" s="2">
        <v>70000</v>
      </c>
      <c r="F25" s="4">
        <v>70000</v>
      </c>
      <c r="G25" s="2">
        <v>70000</v>
      </c>
      <c r="H25" s="4">
        <v>70000</v>
      </c>
      <c r="I25" s="2">
        <v>73000</v>
      </c>
      <c r="J25" s="253"/>
      <c r="K25" s="2">
        <v>73000</v>
      </c>
      <c r="L25" s="12"/>
      <c r="M25" s="12"/>
      <c r="N25" s="12"/>
      <c r="O25" s="72"/>
    </row>
    <row r="26" spans="2:15" x14ac:dyDescent="0.25">
      <c r="B26" s="180"/>
      <c r="C26" s="255"/>
      <c r="D26" s="274">
        <v>45666</v>
      </c>
      <c r="E26" s="3">
        <v>46068</v>
      </c>
      <c r="F26" s="3">
        <v>45736</v>
      </c>
      <c r="G26" s="3">
        <v>46129</v>
      </c>
      <c r="H26" s="3">
        <v>46147</v>
      </c>
      <c r="I26" s="3">
        <v>46176</v>
      </c>
      <c r="J26" s="253"/>
      <c r="K26" s="3">
        <v>46238</v>
      </c>
      <c r="L26" s="12"/>
      <c r="M26" s="12"/>
      <c r="N26" s="12"/>
      <c r="O26" s="72"/>
    </row>
    <row r="27" spans="2:15" x14ac:dyDescent="0.25">
      <c r="B27" s="180"/>
      <c r="C27" s="255" t="s">
        <v>203</v>
      </c>
      <c r="D27" s="275">
        <v>70000</v>
      </c>
      <c r="E27" s="4">
        <v>70000</v>
      </c>
      <c r="F27" s="4">
        <v>70000</v>
      </c>
      <c r="G27" s="4">
        <v>70000</v>
      </c>
      <c r="H27" s="4">
        <v>70000</v>
      </c>
      <c r="I27" s="2">
        <v>73000</v>
      </c>
      <c r="J27" s="2">
        <v>73000</v>
      </c>
      <c r="K27" s="2">
        <v>73000</v>
      </c>
      <c r="L27" s="12"/>
      <c r="M27" s="12"/>
      <c r="N27" s="12"/>
      <c r="O27" s="72"/>
    </row>
    <row r="28" spans="2:15" x14ac:dyDescent="0.25">
      <c r="B28" s="180"/>
      <c r="C28" s="255"/>
      <c r="D28" s="274">
        <v>45672</v>
      </c>
      <c r="E28" s="3">
        <v>46072</v>
      </c>
      <c r="F28" s="3">
        <v>46119</v>
      </c>
      <c r="G28" s="3">
        <v>46140</v>
      </c>
      <c r="H28" s="3">
        <v>46148</v>
      </c>
      <c r="I28" s="3">
        <v>46175</v>
      </c>
      <c r="J28" s="3">
        <v>46244</v>
      </c>
      <c r="K28" s="3">
        <v>46234</v>
      </c>
      <c r="L28" s="12"/>
      <c r="M28" s="12"/>
      <c r="N28" s="12"/>
      <c r="O28" s="72"/>
    </row>
    <row r="29" spans="2:15" x14ac:dyDescent="0.25">
      <c r="B29" s="180"/>
      <c r="C29" s="255" t="s">
        <v>192</v>
      </c>
      <c r="D29" s="275">
        <v>70000</v>
      </c>
      <c r="E29" s="2">
        <v>70000</v>
      </c>
      <c r="F29" s="2">
        <v>70000</v>
      </c>
      <c r="G29" s="253"/>
      <c r="H29" s="253"/>
      <c r="I29" s="2">
        <v>73000</v>
      </c>
      <c r="J29" s="2">
        <v>73000</v>
      </c>
      <c r="K29" s="2">
        <v>73000</v>
      </c>
      <c r="L29" s="12"/>
      <c r="M29" s="12"/>
      <c r="N29" s="12"/>
      <c r="O29" s="72"/>
    </row>
    <row r="30" spans="2:15" x14ac:dyDescent="0.25">
      <c r="B30" s="180"/>
      <c r="C30" s="255"/>
      <c r="D30" s="274">
        <v>46043</v>
      </c>
      <c r="E30" s="3">
        <v>46085</v>
      </c>
      <c r="F30" s="3">
        <v>46127</v>
      </c>
      <c r="G30" s="253"/>
      <c r="H30" s="253"/>
      <c r="I30" s="3">
        <v>46174</v>
      </c>
      <c r="J30" s="3">
        <v>46237</v>
      </c>
      <c r="K30" s="3">
        <v>46237</v>
      </c>
      <c r="L30" s="12"/>
      <c r="M30" s="12"/>
      <c r="N30" s="12"/>
      <c r="O30" s="72"/>
    </row>
    <row r="31" spans="2:15" x14ac:dyDescent="0.25">
      <c r="B31" s="180"/>
      <c r="C31" s="255" t="s">
        <v>193</v>
      </c>
      <c r="D31" s="275">
        <v>50000</v>
      </c>
      <c r="E31" s="2">
        <v>70000</v>
      </c>
      <c r="F31" s="4">
        <v>70000</v>
      </c>
      <c r="G31" s="4">
        <v>70000</v>
      </c>
      <c r="H31" s="4">
        <v>70000</v>
      </c>
      <c r="I31" s="2">
        <v>70000</v>
      </c>
      <c r="J31" s="3">
        <v>46233</v>
      </c>
      <c r="K31" s="67"/>
      <c r="L31" s="12"/>
      <c r="M31" s="12"/>
      <c r="N31" s="12"/>
      <c r="O31" s="72"/>
    </row>
    <row r="32" spans="2:15" x14ac:dyDescent="0.25">
      <c r="B32" s="180"/>
      <c r="C32" s="255"/>
      <c r="D32" s="274">
        <v>45677</v>
      </c>
      <c r="E32" s="3">
        <v>46086</v>
      </c>
      <c r="F32" s="3">
        <v>45754</v>
      </c>
      <c r="G32" s="3">
        <v>46142</v>
      </c>
      <c r="H32" s="3">
        <v>46169</v>
      </c>
      <c r="I32" s="3">
        <v>46199</v>
      </c>
      <c r="J32" s="2">
        <v>70000</v>
      </c>
      <c r="K32" s="27"/>
      <c r="L32" s="12"/>
      <c r="M32" s="12"/>
      <c r="N32" s="12"/>
      <c r="O32" s="72"/>
    </row>
    <row r="33" spans="2:15" x14ac:dyDescent="0.25">
      <c r="B33" s="180"/>
      <c r="C33" s="255" t="s">
        <v>204</v>
      </c>
      <c r="D33" s="276"/>
      <c r="E33" s="2">
        <v>70000</v>
      </c>
      <c r="F33" s="2">
        <v>70000</v>
      </c>
      <c r="G33" s="253"/>
      <c r="H33" s="253"/>
      <c r="I33" s="2">
        <v>73000</v>
      </c>
      <c r="J33" s="2">
        <v>70000</v>
      </c>
      <c r="K33" s="2">
        <v>70000</v>
      </c>
      <c r="L33" s="12"/>
      <c r="M33" s="12"/>
      <c r="N33" s="12"/>
      <c r="O33" s="72"/>
    </row>
    <row r="34" spans="2:15" x14ac:dyDescent="0.25">
      <c r="B34" s="180"/>
      <c r="C34" s="255"/>
      <c r="D34" s="276"/>
      <c r="E34" s="3">
        <v>46057</v>
      </c>
      <c r="F34" s="3">
        <v>46121</v>
      </c>
      <c r="G34" s="253"/>
      <c r="H34" s="253"/>
      <c r="I34" s="3">
        <v>46184</v>
      </c>
      <c r="J34" s="3">
        <v>46230</v>
      </c>
      <c r="K34" s="3">
        <v>46230</v>
      </c>
      <c r="L34" s="12"/>
      <c r="M34" s="12"/>
      <c r="N34" s="12"/>
      <c r="O34" s="72"/>
    </row>
    <row r="35" spans="2:15" x14ac:dyDescent="0.25">
      <c r="B35" s="180"/>
      <c r="C35" s="255" t="s">
        <v>205</v>
      </c>
      <c r="D35" s="276"/>
      <c r="E35" s="268"/>
      <c r="F35" s="2">
        <v>70000</v>
      </c>
      <c r="G35" s="2">
        <v>70000</v>
      </c>
      <c r="H35" s="4">
        <v>70000</v>
      </c>
      <c r="I35" s="2">
        <v>73000</v>
      </c>
      <c r="J35" s="2">
        <v>73000</v>
      </c>
      <c r="K35" s="2">
        <v>73000</v>
      </c>
      <c r="L35" s="12"/>
      <c r="M35" s="12"/>
      <c r="N35" s="12"/>
      <c r="O35" s="72"/>
    </row>
    <row r="36" spans="2:15" x14ac:dyDescent="0.25">
      <c r="B36" s="180"/>
      <c r="C36" s="255"/>
      <c r="D36" s="276"/>
      <c r="E36" s="268"/>
      <c r="F36" s="3">
        <v>45726</v>
      </c>
      <c r="G36" s="3">
        <v>46122</v>
      </c>
      <c r="H36" s="3">
        <v>46152</v>
      </c>
      <c r="I36" s="3">
        <v>46177</v>
      </c>
      <c r="J36" s="3">
        <v>46205</v>
      </c>
      <c r="K36" s="3">
        <v>46239</v>
      </c>
      <c r="L36" s="12"/>
      <c r="M36" s="12"/>
      <c r="N36" s="12"/>
      <c r="O36" s="72"/>
    </row>
    <row r="37" spans="2:15" x14ac:dyDescent="0.25">
      <c r="B37" s="180"/>
      <c r="C37" s="255" t="s">
        <v>216</v>
      </c>
      <c r="D37" s="276"/>
      <c r="E37" s="268"/>
      <c r="F37" s="268"/>
      <c r="G37" s="2">
        <v>70000</v>
      </c>
      <c r="H37" s="4">
        <v>70000</v>
      </c>
      <c r="I37" s="2">
        <v>73000</v>
      </c>
      <c r="J37" s="2">
        <v>70000</v>
      </c>
      <c r="K37" s="2">
        <v>70000</v>
      </c>
      <c r="L37" s="12"/>
      <c r="M37" s="12"/>
      <c r="N37" s="12"/>
      <c r="O37" s="72"/>
    </row>
    <row r="38" spans="2:15" x14ac:dyDescent="0.25">
      <c r="B38" s="180"/>
      <c r="C38" s="255"/>
      <c r="D38" s="276"/>
      <c r="E38" s="268"/>
      <c r="F38" s="268"/>
      <c r="G38" s="3">
        <v>46120</v>
      </c>
      <c r="H38" s="3">
        <v>46146</v>
      </c>
      <c r="I38" s="3">
        <v>46180</v>
      </c>
      <c r="J38" s="3">
        <v>46210</v>
      </c>
      <c r="K38" s="3">
        <v>46240</v>
      </c>
      <c r="L38" s="12"/>
      <c r="M38" s="12"/>
      <c r="N38" s="12"/>
      <c r="O38" s="72"/>
    </row>
    <row r="39" spans="2:15" x14ac:dyDescent="0.25">
      <c r="B39" s="180"/>
      <c r="C39" s="255" t="s">
        <v>264</v>
      </c>
      <c r="D39" s="276"/>
      <c r="E39" s="268"/>
      <c r="F39" s="268"/>
      <c r="G39" s="4">
        <v>70000</v>
      </c>
      <c r="H39" s="12"/>
      <c r="I39" s="2">
        <v>73000</v>
      </c>
      <c r="J39" s="2">
        <v>70000</v>
      </c>
      <c r="K39" s="2">
        <v>70000</v>
      </c>
      <c r="L39" s="12"/>
      <c r="M39" s="12"/>
      <c r="N39" s="12"/>
      <c r="O39" s="72"/>
    </row>
    <row r="40" spans="2:15" x14ac:dyDescent="0.25">
      <c r="B40" s="180"/>
      <c r="C40" s="255"/>
      <c r="D40" s="276"/>
      <c r="E40" s="268"/>
      <c r="F40" s="268"/>
      <c r="G40" s="3">
        <v>46139</v>
      </c>
      <c r="H40" s="12"/>
      <c r="I40" s="3">
        <v>46174</v>
      </c>
      <c r="J40" s="3">
        <v>46204</v>
      </c>
      <c r="K40" s="3">
        <v>46239</v>
      </c>
      <c r="L40" s="12"/>
      <c r="M40" s="12"/>
      <c r="N40" s="12"/>
      <c r="O40" s="72"/>
    </row>
    <row r="41" spans="2:15" x14ac:dyDescent="0.25">
      <c r="B41" s="180"/>
      <c r="C41" s="255" t="s">
        <v>276</v>
      </c>
      <c r="D41" s="276"/>
      <c r="E41" s="268"/>
      <c r="F41" s="268"/>
      <c r="G41" s="268"/>
      <c r="H41" s="4">
        <v>35000</v>
      </c>
      <c r="I41" s="2">
        <v>73000</v>
      </c>
      <c r="J41" s="2">
        <v>70000</v>
      </c>
      <c r="K41" s="2">
        <v>70000</v>
      </c>
      <c r="L41" s="12"/>
      <c r="M41" s="12"/>
      <c r="N41" s="12"/>
      <c r="O41" s="72"/>
    </row>
    <row r="42" spans="2:15" x14ac:dyDescent="0.25">
      <c r="B42" s="180"/>
      <c r="C42" s="255"/>
      <c r="D42" s="276"/>
      <c r="E42" s="268"/>
      <c r="F42" s="268"/>
      <c r="G42" s="268"/>
      <c r="H42" s="3">
        <v>46155</v>
      </c>
      <c r="I42" s="3">
        <v>46174</v>
      </c>
      <c r="J42" s="3">
        <v>46211</v>
      </c>
      <c r="K42" s="3">
        <v>46238</v>
      </c>
      <c r="L42" s="12"/>
      <c r="M42" s="12"/>
      <c r="N42" s="12"/>
      <c r="O42" s="72"/>
    </row>
    <row r="43" spans="2:15" x14ac:dyDescent="0.25">
      <c r="B43" s="180"/>
      <c r="C43" s="255" t="s">
        <v>277</v>
      </c>
      <c r="D43" s="276"/>
      <c r="E43" s="268"/>
      <c r="F43" s="268"/>
      <c r="G43" s="268"/>
      <c r="H43" s="4">
        <v>35000</v>
      </c>
      <c r="I43" s="2">
        <v>70000</v>
      </c>
      <c r="J43" s="2">
        <v>73000</v>
      </c>
      <c r="K43" s="2">
        <v>73000</v>
      </c>
      <c r="L43" s="12"/>
      <c r="M43" s="12"/>
      <c r="N43" s="12"/>
      <c r="O43" s="72"/>
    </row>
    <row r="44" spans="2:15" x14ac:dyDescent="0.25">
      <c r="B44" s="180"/>
      <c r="C44" s="255"/>
      <c r="D44" s="276"/>
      <c r="E44" s="268"/>
      <c r="F44" s="268"/>
      <c r="G44" s="268"/>
      <c r="H44" s="3">
        <v>46157</v>
      </c>
      <c r="I44" s="3">
        <v>46174</v>
      </c>
      <c r="J44" s="3">
        <v>46209</v>
      </c>
      <c r="K44" s="3">
        <v>46238</v>
      </c>
      <c r="L44" s="12"/>
      <c r="M44" s="12"/>
      <c r="N44" s="12"/>
      <c r="O44" s="72"/>
    </row>
    <row r="45" spans="2:15" x14ac:dyDescent="0.25">
      <c r="B45" s="180"/>
      <c r="C45" s="255" t="s">
        <v>275</v>
      </c>
      <c r="D45" s="276"/>
      <c r="E45" s="268"/>
      <c r="F45" s="268"/>
      <c r="G45" s="268"/>
      <c r="H45" s="4">
        <v>35000</v>
      </c>
      <c r="I45" s="2">
        <v>73000</v>
      </c>
      <c r="J45" s="2">
        <v>73000</v>
      </c>
      <c r="K45" s="2">
        <v>70000</v>
      </c>
      <c r="L45" s="12"/>
      <c r="M45" s="12"/>
      <c r="N45" s="12"/>
      <c r="O45" s="72"/>
    </row>
    <row r="46" spans="2:15" x14ac:dyDescent="0.25">
      <c r="B46" s="180"/>
      <c r="C46" s="255"/>
      <c r="D46" s="276"/>
      <c r="E46" s="268"/>
      <c r="F46" s="268"/>
      <c r="G46" s="268"/>
      <c r="H46" s="3">
        <v>46157</v>
      </c>
      <c r="I46" s="3">
        <v>46174</v>
      </c>
      <c r="J46" s="3">
        <v>46217</v>
      </c>
      <c r="K46" s="3">
        <v>46238</v>
      </c>
      <c r="L46" s="12"/>
      <c r="M46" s="12"/>
      <c r="N46" s="12"/>
      <c r="O46" s="72"/>
    </row>
    <row r="47" spans="2:15" x14ac:dyDescent="0.25">
      <c r="B47" s="180"/>
      <c r="C47" s="255" t="s">
        <v>274</v>
      </c>
      <c r="D47" s="276"/>
      <c r="E47" s="268"/>
      <c r="F47" s="268"/>
      <c r="G47" s="268"/>
      <c r="H47" s="4">
        <v>35000</v>
      </c>
      <c r="I47" s="2">
        <v>70000</v>
      </c>
      <c r="J47" s="2">
        <v>70000</v>
      </c>
      <c r="K47" s="2">
        <v>70000</v>
      </c>
      <c r="L47" s="12"/>
      <c r="M47" s="12"/>
      <c r="N47" s="12"/>
      <c r="O47" s="72"/>
    </row>
    <row r="48" spans="2:15" x14ac:dyDescent="0.25">
      <c r="B48" s="180"/>
      <c r="C48" s="255"/>
      <c r="D48" s="276"/>
      <c r="E48" s="268"/>
      <c r="F48" s="268"/>
      <c r="G48" s="268"/>
      <c r="H48" s="3">
        <v>46157</v>
      </c>
      <c r="I48" s="3">
        <v>46174</v>
      </c>
      <c r="J48" s="3">
        <v>46204</v>
      </c>
      <c r="K48" s="3">
        <v>46238</v>
      </c>
      <c r="L48" s="12"/>
      <c r="M48" s="12"/>
      <c r="N48" s="12"/>
      <c r="O48" s="72"/>
    </row>
    <row r="49" spans="2:15" x14ac:dyDescent="0.25">
      <c r="B49" s="180"/>
      <c r="C49" s="255" t="s">
        <v>278</v>
      </c>
      <c r="D49" s="276"/>
      <c r="E49" s="268"/>
      <c r="F49" s="268"/>
      <c r="G49" s="268"/>
      <c r="H49" s="4">
        <v>35000</v>
      </c>
      <c r="I49" s="2">
        <v>70000</v>
      </c>
      <c r="J49" s="2">
        <v>70000</v>
      </c>
      <c r="K49" s="253"/>
      <c r="L49" s="12"/>
      <c r="M49" s="12"/>
      <c r="N49" s="12"/>
      <c r="O49" s="72"/>
    </row>
    <row r="50" spans="2:15" x14ac:dyDescent="0.25">
      <c r="B50" s="180"/>
      <c r="C50" s="255"/>
      <c r="D50" s="276"/>
      <c r="E50" s="268"/>
      <c r="F50" s="268"/>
      <c r="G50" s="268"/>
      <c r="H50" s="3">
        <v>46161</v>
      </c>
      <c r="I50" s="3">
        <v>46189</v>
      </c>
      <c r="J50" s="3">
        <v>46241</v>
      </c>
      <c r="K50" s="253"/>
      <c r="L50" s="12"/>
      <c r="M50" s="12"/>
      <c r="N50" s="12"/>
      <c r="O50" s="72"/>
    </row>
    <row r="51" spans="2:15" x14ac:dyDescent="0.25">
      <c r="B51" s="180"/>
      <c r="C51" s="255" t="s">
        <v>284</v>
      </c>
      <c r="D51" s="276"/>
      <c r="E51" s="268"/>
      <c r="F51" s="268"/>
      <c r="G51" s="268"/>
      <c r="H51" s="268"/>
      <c r="I51" s="2">
        <v>70000</v>
      </c>
      <c r="J51" s="2">
        <v>70000</v>
      </c>
      <c r="K51" s="12">
        <v>74000</v>
      </c>
      <c r="L51" s="12"/>
      <c r="M51" s="12"/>
      <c r="N51" s="12"/>
      <c r="O51" s="72"/>
    </row>
    <row r="52" spans="2:15" x14ac:dyDescent="0.25">
      <c r="B52" s="180"/>
      <c r="C52" s="255"/>
      <c r="D52" s="276"/>
      <c r="E52" s="268"/>
      <c r="F52" s="268"/>
      <c r="G52" s="268"/>
      <c r="H52" s="268"/>
      <c r="I52" s="3">
        <v>46174</v>
      </c>
      <c r="J52" s="3">
        <v>46204</v>
      </c>
      <c r="K52" s="3">
        <v>46240</v>
      </c>
      <c r="L52" s="12"/>
      <c r="M52" s="12"/>
      <c r="N52" s="12"/>
      <c r="O52" s="72"/>
    </row>
    <row r="53" spans="2:15" x14ac:dyDescent="0.25">
      <c r="B53" s="180"/>
      <c r="C53" s="255" t="s">
        <v>285</v>
      </c>
      <c r="D53" s="276"/>
      <c r="E53" s="268"/>
      <c r="F53" s="268"/>
      <c r="G53" s="268"/>
      <c r="H53" s="268"/>
      <c r="I53" s="2">
        <v>70000</v>
      </c>
      <c r="J53" s="2">
        <v>70000</v>
      </c>
      <c r="K53" s="2">
        <v>70000</v>
      </c>
      <c r="L53" s="12"/>
      <c r="M53" s="12"/>
      <c r="N53" s="12"/>
      <c r="O53" s="72"/>
    </row>
    <row r="54" spans="2:15" x14ac:dyDescent="0.25">
      <c r="B54" s="180"/>
      <c r="C54" s="255"/>
      <c r="D54" s="276"/>
      <c r="E54" s="268"/>
      <c r="F54" s="268"/>
      <c r="G54" s="268"/>
      <c r="H54" s="268"/>
      <c r="I54" s="3">
        <v>46177</v>
      </c>
      <c r="J54" s="3">
        <v>46217</v>
      </c>
      <c r="K54" s="3">
        <v>46237</v>
      </c>
      <c r="L54" s="12"/>
      <c r="M54" s="12"/>
      <c r="N54" s="12"/>
      <c r="O54" s="72"/>
    </row>
    <row r="55" spans="2:15" x14ac:dyDescent="0.25">
      <c r="B55" s="180"/>
      <c r="C55" s="256" t="s">
        <v>301</v>
      </c>
      <c r="D55" s="276"/>
      <c r="E55" s="268"/>
      <c r="F55" s="268"/>
      <c r="G55" s="268"/>
      <c r="H55" s="268"/>
      <c r="I55" s="268"/>
      <c r="J55" s="2">
        <v>70000</v>
      </c>
      <c r="K55" s="2">
        <v>35000</v>
      </c>
      <c r="L55" s="12"/>
      <c r="M55" s="12"/>
      <c r="N55" s="12"/>
      <c r="O55" s="72"/>
    </row>
    <row r="56" spans="2:15" x14ac:dyDescent="0.25">
      <c r="B56" s="180"/>
      <c r="C56" s="257"/>
      <c r="D56" s="276"/>
      <c r="E56" s="268"/>
      <c r="F56" s="268"/>
      <c r="G56" s="268"/>
      <c r="H56" s="268"/>
      <c r="I56" s="268"/>
      <c r="J56" s="3">
        <v>46219</v>
      </c>
      <c r="K56" s="3">
        <v>46238</v>
      </c>
      <c r="L56" s="12"/>
      <c r="M56" s="12"/>
      <c r="N56" s="12"/>
      <c r="O56" s="72"/>
    </row>
    <row r="57" spans="2:15" x14ac:dyDescent="0.25">
      <c r="B57" s="180"/>
      <c r="C57" s="256" t="s">
        <v>300</v>
      </c>
      <c r="D57" s="276"/>
      <c r="E57" s="268"/>
      <c r="F57" s="268"/>
      <c r="G57" s="268"/>
      <c r="H57" s="268"/>
      <c r="I57" s="2">
        <v>70000</v>
      </c>
      <c r="J57" s="2">
        <v>30000</v>
      </c>
      <c r="K57" s="253"/>
      <c r="L57" s="12"/>
      <c r="M57" s="12"/>
      <c r="N57" s="12"/>
      <c r="O57" s="72"/>
    </row>
    <row r="58" spans="2:15" x14ac:dyDescent="0.25">
      <c r="B58" s="180"/>
      <c r="C58" s="257"/>
      <c r="D58" s="276"/>
      <c r="E58" s="268"/>
      <c r="F58" s="268"/>
      <c r="G58" s="268"/>
      <c r="H58" s="268"/>
      <c r="I58" s="3">
        <v>46202</v>
      </c>
      <c r="J58" s="3">
        <v>46214</v>
      </c>
      <c r="K58" s="253"/>
      <c r="L58" s="12"/>
      <c r="M58" s="12"/>
      <c r="N58" s="12"/>
      <c r="O58" s="72"/>
    </row>
    <row r="59" spans="2:15" x14ac:dyDescent="0.25">
      <c r="B59" s="180"/>
      <c r="C59" s="256" t="s">
        <v>299</v>
      </c>
      <c r="D59" s="276"/>
      <c r="E59" s="268"/>
      <c r="F59" s="268"/>
      <c r="G59" s="268"/>
      <c r="H59" s="268"/>
      <c r="I59" s="2">
        <v>15000</v>
      </c>
      <c r="J59" s="2">
        <v>70000</v>
      </c>
      <c r="K59" s="2">
        <v>70000</v>
      </c>
      <c r="L59" s="12"/>
      <c r="M59" s="12"/>
      <c r="N59" s="12"/>
      <c r="O59" s="72"/>
    </row>
    <row r="60" spans="2:15" x14ac:dyDescent="0.25">
      <c r="B60" s="180"/>
      <c r="C60" s="257"/>
      <c r="D60" s="276"/>
      <c r="E60" s="268"/>
      <c r="F60" s="268"/>
      <c r="G60" s="268"/>
      <c r="H60" s="268"/>
      <c r="I60" s="3">
        <v>46199</v>
      </c>
      <c r="J60" s="3">
        <v>46203</v>
      </c>
      <c r="K60" s="3">
        <v>46239</v>
      </c>
      <c r="L60" s="12"/>
      <c r="M60" s="12"/>
      <c r="N60" s="12"/>
      <c r="O60" s="72"/>
    </row>
    <row r="61" spans="2:15" x14ac:dyDescent="0.25">
      <c r="B61" s="180"/>
      <c r="C61" s="258" t="s">
        <v>298</v>
      </c>
      <c r="D61" s="276"/>
      <c r="E61" s="268"/>
      <c r="F61" s="268"/>
      <c r="G61" s="268"/>
      <c r="H61" s="268"/>
      <c r="I61" s="268"/>
      <c r="J61" s="2">
        <v>70000</v>
      </c>
      <c r="K61" s="2">
        <v>70000</v>
      </c>
      <c r="L61" s="12"/>
      <c r="M61" s="12"/>
      <c r="N61" s="12"/>
      <c r="O61" s="72"/>
    </row>
    <row r="62" spans="2:15" x14ac:dyDescent="0.25">
      <c r="B62" s="180"/>
      <c r="C62" s="258"/>
      <c r="D62" s="276"/>
      <c r="E62" s="268"/>
      <c r="F62" s="268"/>
      <c r="G62" s="268"/>
      <c r="H62" s="268"/>
      <c r="I62" s="268"/>
      <c r="J62" s="3">
        <v>46204</v>
      </c>
      <c r="K62" s="3">
        <v>46237</v>
      </c>
      <c r="L62" s="12"/>
      <c r="M62" s="12"/>
      <c r="N62" s="12"/>
      <c r="O62" s="72"/>
    </row>
    <row r="63" spans="2:15" x14ac:dyDescent="0.25">
      <c r="B63" s="180"/>
      <c r="C63" s="259" t="s">
        <v>321</v>
      </c>
      <c r="D63" s="276"/>
      <c r="E63" s="268"/>
      <c r="F63" s="268"/>
      <c r="G63" s="268"/>
      <c r="H63" s="268"/>
      <c r="I63" s="268"/>
      <c r="J63" s="268"/>
      <c r="K63" s="2">
        <v>70000</v>
      </c>
      <c r="L63" s="12"/>
      <c r="M63" s="12"/>
      <c r="N63" s="12"/>
      <c r="O63" s="72"/>
    </row>
    <row r="64" spans="2:15" x14ac:dyDescent="0.25">
      <c r="B64" s="180"/>
      <c r="C64" s="259"/>
      <c r="D64" s="276"/>
      <c r="E64" s="268"/>
      <c r="F64" s="268"/>
      <c r="G64" s="268"/>
      <c r="H64" s="268"/>
      <c r="I64" s="268"/>
      <c r="J64" s="268"/>
      <c r="K64" s="3">
        <v>46231</v>
      </c>
      <c r="L64" s="12"/>
      <c r="M64" s="12"/>
      <c r="N64" s="12"/>
      <c r="O64" s="72"/>
    </row>
    <row r="65" spans="2:15" x14ac:dyDescent="0.25">
      <c r="B65" s="180"/>
      <c r="C65" s="260"/>
      <c r="D65" s="275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72"/>
    </row>
    <row r="66" spans="2:15" x14ac:dyDescent="0.25">
      <c r="B66" s="180"/>
      <c r="C66" s="260"/>
      <c r="D66" s="275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72"/>
    </row>
    <row r="67" spans="2:15" x14ac:dyDescent="0.25">
      <c r="B67" s="180"/>
      <c r="C67" s="261"/>
      <c r="D67" s="275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72"/>
    </row>
    <row r="68" spans="2:15" ht="15.75" thickBot="1" x14ac:dyDescent="0.3">
      <c r="B68" s="181"/>
      <c r="C68" s="262"/>
      <c r="D68" s="279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280"/>
    </row>
    <row r="69" spans="2:15" x14ac:dyDescent="0.25">
      <c r="B69" s="179" t="s">
        <v>72</v>
      </c>
      <c r="C69" s="263" t="s">
        <v>25</v>
      </c>
      <c r="D69" s="281"/>
      <c r="E69" s="26">
        <v>70000</v>
      </c>
      <c r="F69" s="26">
        <v>70000</v>
      </c>
      <c r="G69" s="282" t="s">
        <v>270</v>
      </c>
      <c r="H69" s="59">
        <v>70000</v>
      </c>
      <c r="I69" s="26">
        <v>73000</v>
      </c>
      <c r="J69" s="26">
        <v>73000</v>
      </c>
      <c r="K69" s="26">
        <v>73000</v>
      </c>
      <c r="L69" s="54"/>
      <c r="M69" s="54"/>
      <c r="N69" s="54"/>
      <c r="O69" s="71"/>
    </row>
    <row r="70" spans="2:15" x14ac:dyDescent="0.25">
      <c r="B70" s="180"/>
      <c r="C70" s="264"/>
      <c r="D70" s="277"/>
      <c r="E70" s="3">
        <v>46069</v>
      </c>
      <c r="F70" s="3">
        <v>46099</v>
      </c>
      <c r="G70" s="269"/>
      <c r="H70" s="3">
        <v>46147</v>
      </c>
      <c r="I70" s="3">
        <v>46176</v>
      </c>
      <c r="J70" s="3">
        <v>46214</v>
      </c>
      <c r="K70" s="3">
        <v>46239</v>
      </c>
      <c r="L70" s="12"/>
      <c r="M70" s="12"/>
      <c r="N70" s="12"/>
      <c r="O70" s="72"/>
    </row>
    <row r="71" spans="2:15" x14ac:dyDescent="0.25">
      <c r="B71" s="180"/>
      <c r="C71" s="255" t="s">
        <v>90</v>
      </c>
      <c r="D71" s="275">
        <v>70000</v>
      </c>
      <c r="E71" s="2">
        <v>70000</v>
      </c>
      <c r="F71" s="2">
        <v>70000</v>
      </c>
      <c r="G71" s="253"/>
      <c r="H71" s="253"/>
      <c r="I71" s="2">
        <v>73000</v>
      </c>
      <c r="J71" s="2">
        <v>73000</v>
      </c>
      <c r="K71" s="2">
        <v>70000</v>
      </c>
      <c r="L71" s="12"/>
      <c r="M71" s="12"/>
      <c r="N71" s="12"/>
      <c r="O71" s="72"/>
    </row>
    <row r="72" spans="2:15" x14ac:dyDescent="0.25">
      <c r="B72" s="180"/>
      <c r="C72" s="255"/>
      <c r="D72" s="274">
        <v>45697</v>
      </c>
      <c r="E72" s="3">
        <v>46092</v>
      </c>
      <c r="F72" s="3">
        <v>46120</v>
      </c>
      <c r="G72" s="253"/>
      <c r="H72" s="253"/>
      <c r="I72" s="3">
        <v>46176</v>
      </c>
      <c r="J72" s="3">
        <v>46205</v>
      </c>
      <c r="K72" s="3">
        <v>46240</v>
      </c>
      <c r="L72" s="12"/>
      <c r="M72" s="12"/>
      <c r="N72" s="12"/>
      <c r="O72" s="72"/>
    </row>
    <row r="73" spans="2:15" x14ac:dyDescent="0.25">
      <c r="B73" s="180"/>
      <c r="C73" s="255" t="s">
        <v>97</v>
      </c>
      <c r="D73" s="275">
        <v>70000</v>
      </c>
      <c r="E73" s="2">
        <v>70000</v>
      </c>
      <c r="F73" s="4">
        <v>70000</v>
      </c>
      <c r="G73" s="2">
        <v>70000</v>
      </c>
      <c r="H73" s="4">
        <v>70000</v>
      </c>
      <c r="I73" s="2">
        <v>73000</v>
      </c>
      <c r="J73" s="269" t="s">
        <v>270</v>
      </c>
      <c r="K73" s="2">
        <v>70000</v>
      </c>
      <c r="L73" s="12"/>
      <c r="M73" s="12"/>
      <c r="N73" s="12"/>
      <c r="O73" s="72"/>
    </row>
    <row r="74" spans="2:15" x14ac:dyDescent="0.25">
      <c r="B74" s="180"/>
      <c r="C74" s="255"/>
      <c r="D74" s="274">
        <v>45677</v>
      </c>
      <c r="E74" s="3">
        <v>46059</v>
      </c>
      <c r="F74" s="3">
        <v>46097</v>
      </c>
      <c r="G74" s="3">
        <v>46129</v>
      </c>
      <c r="H74" s="3">
        <v>46150</v>
      </c>
      <c r="I74" s="3">
        <v>46178</v>
      </c>
      <c r="J74" s="269"/>
      <c r="K74" s="3">
        <v>46238</v>
      </c>
      <c r="L74" s="12"/>
      <c r="M74" s="12"/>
      <c r="N74" s="12"/>
      <c r="O74" s="72"/>
    </row>
    <row r="75" spans="2:15" x14ac:dyDescent="0.25">
      <c r="B75" s="180"/>
      <c r="C75" s="255" t="s">
        <v>320</v>
      </c>
      <c r="D75" s="275">
        <v>70000</v>
      </c>
      <c r="E75" s="2">
        <v>70000</v>
      </c>
      <c r="F75" s="4">
        <v>70000</v>
      </c>
      <c r="G75" s="4">
        <v>70000</v>
      </c>
      <c r="H75" s="4">
        <v>70000</v>
      </c>
      <c r="I75" s="4">
        <v>70000</v>
      </c>
      <c r="J75" s="2">
        <v>70000</v>
      </c>
      <c r="K75" s="2">
        <v>70000</v>
      </c>
      <c r="L75" s="12"/>
      <c r="M75" s="12"/>
      <c r="N75" s="12"/>
      <c r="O75" s="72"/>
    </row>
    <row r="76" spans="2:15" x14ac:dyDescent="0.25">
      <c r="B76" s="180"/>
      <c r="C76" s="255"/>
      <c r="D76" s="274">
        <v>46036</v>
      </c>
      <c r="E76" s="3">
        <v>46081</v>
      </c>
      <c r="F76" s="3">
        <v>46139</v>
      </c>
      <c r="G76" s="3">
        <v>46139</v>
      </c>
      <c r="H76" s="3">
        <v>46169</v>
      </c>
      <c r="I76" s="3">
        <v>46198</v>
      </c>
      <c r="J76" s="3">
        <v>46205</v>
      </c>
      <c r="K76" s="3">
        <v>46235</v>
      </c>
      <c r="L76" s="12"/>
      <c r="M76" s="12"/>
      <c r="N76" s="12"/>
      <c r="O76" s="72"/>
    </row>
    <row r="77" spans="2:15" x14ac:dyDescent="0.25">
      <c r="B77" s="180"/>
      <c r="C77" s="255" t="s">
        <v>194</v>
      </c>
      <c r="D77" s="275">
        <v>50000</v>
      </c>
      <c r="E77" s="2">
        <v>70000</v>
      </c>
      <c r="F77" s="4">
        <v>70000</v>
      </c>
      <c r="G77" s="253"/>
      <c r="H77" s="253"/>
      <c r="I77" s="2">
        <v>73000</v>
      </c>
      <c r="J77" s="2">
        <v>73000</v>
      </c>
      <c r="K77" s="2">
        <v>73000</v>
      </c>
      <c r="L77" s="12"/>
      <c r="M77" s="12"/>
      <c r="N77" s="12"/>
      <c r="O77" s="72"/>
    </row>
    <row r="78" spans="2:15" x14ac:dyDescent="0.25">
      <c r="B78" s="180"/>
      <c r="C78" s="255"/>
      <c r="D78" s="274">
        <v>46080</v>
      </c>
      <c r="E78" s="3">
        <v>46084</v>
      </c>
      <c r="F78" s="3">
        <v>46133</v>
      </c>
      <c r="G78" s="253"/>
      <c r="H78" s="253"/>
      <c r="I78" s="3">
        <v>46178</v>
      </c>
      <c r="J78" s="3">
        <v>46208</v>
      </c>
      <c r="K78" s="3">
        <v>46237</v>
      </c>
      <c r="L78" s="12"/>
      <c r="M78" s="12"/>
      <c r="N78" s="12"/>
      <c r="O78" s="72"/>
    </row>
    <row r="79" spans="2:15" x14ac:dyDescent="0.25">
      <c r="B79" s="180"/>
      <c r="C79" s="255" t="s">
        <v>202</v>
      </c>
      <c r="D79" s="276"/>
      <c r="E79" s="267"/>
      <c r="F79" s="2">
        <v>70000</v>
      </c>
      <c r="G79" s="2">
        <v>70000</v>
      </c>
      <c r="H79" s="269" t="s">
        <v>270</v>
      </c>
      <c r="I79" s="2">
        <v>35000</v>
      </c>
      <c r="J79" s="2">
        <v>73000</v>
      </c>
      <c r="K79" s="2">
        <v>73000</v>
      </c>
      <c r="L79" s="12"/>
      <c r="M79" s="12"/>
      <c r="N79" s="12"/>
      <c r="O79" s="72"/>
    </row>
    <row r="80" spans="2:15" x14ac:dyDescent="0.25">
      <c r="B80" s="180"/>
      <c r="C80" s="255"/>
      <c r="D80" s="276"/>
      <c r="E80" s="270"/>
      <c r="F80" s="3">
        <v>46082</v>
      </c>
      <c r="G80" s="3">
        <v>46112</v>
      </c>
      <c r="H80" s="269"/>
      <c r="I80" s="3">
        <v>46178</v>
      </c>
      <c r="J80" s="3">
        <v>46209</v>
      </c>
      <c r="K80" s="3">
        <v>46236</v>
      </c>
      <c r="L80" s="12"/>
      <c r="M80" s="12"/>
      <c r="N80" s="12"/>
      <c r="O80" s="72"/>
    </row>
    <row r="81" spans="2:15" x14ac:dyDescent="0.25">
      <c r="B81" s="180"/>
      <c r="C81" s="256" t="s">
        <v>322</v>
      </c>
      <c r="D81" s="276"/>
      <c r="E81" s="268"/>
      <c r="F81" s="268"/>
      <c r="G81" s="268"/>
      <c r="H81" s="4">
        <v>12000</v>
      </c>
      <c r="I81" s="2">
        <v>73000</v>
      </c>
      <c r="J81" s="253"/>
      <c r="K81" s="2">
        <v>73000</v>
      </c>
      <c r="L81" s="12"/>
      <c r="M81" s="12"/>
      <c r="N81" s="12"/>
      <c r="O81" s="72"/>
    </row>
    <row r="82" spans="2:15" x14ac:dyDescent="0.25">
      <c r="B82" s="180"/>
      <c r="C82" s="257"/>
      <c r="D82" s="276"/>
      <c r="E82" s="268"/>
      <c r="F82" s="268"/>
      <c r="G82" s="268"/>
      <c r="H82" s="3">
        <v>46168</v>
      </c>
      <c r="I82" s="3">
        <v>46174</v>
      </c>
      <c r="J82" s="253"/>
      <c r="K82" s="3">
        <v>46236</v>
      </c>
      <c r="L82" s="12"/>
      <c r="M82" s="12"/>
      <c r="N82" s="12"/>
      <c r="O82" s="72"/>
    </row>
    <row r="83" spans="2:15" x14ac:dyDescent="0.25">
      <c r="B83" s="180"/>
      <c r="C83" s="256" t="s">
        <v>323</v>
      </c>
      <c r="D83" s="276"/>
      <c r="E83" s="268"/>
      <c r="F83" s="268"/>
      <c r="G83" s="268"/>
      <c r="H83" s="268"/>
      <c r="I83" s="271"/>
      <c r="J83" s="4">
        <v>90000</v>
      </c>
      <c r="K83" s="2">
        <v>70000</v>
      </c>
      <c r="L83" s="12"/>
      <c r="M83" s="12"/>
      <c r="N83" s="12"/>
      <c r="O83" s="72"/>
    </row>
    <row r="84" spans="2:15" x14ac:dyDescent="0.25">
      <c r="B84" s="180"/>
      <c r="C84" s="257"/>
      <c r="D84" s="276"/>
      <c r="E84" s="268"/>
      <c r="F84" s="268"/>
      <c r="G84" s="268"/>
      <c r="H84" s="268"/>
      <c r="I84" s="270"/>
      <c r="J84" s="3">
        <v>46202</v>
      </c>
      <c r="K84" s="3">
        <v>46231</v>
      </c>
      <c r="L84" s="12"/>
      <c r="M84" s="12"/>
      <c r="N84" s="12"/>
      <c r="O84" s="72"/>
    </row>
    <row r="85" spans="2:15" x14ac:dyDescent="0.25">
      <c r="B85" s="180"/>
      <c r="C85" s="256" t="s">
        <v>324</v>
      </c>
      <c r="D85" s="276"/>
      <c r="E85" s="268"/>
      <c r="F85" s="268"/>
      <c r="G85" s="268"/>
      <c r="H85" s="268"/>
      <c r="I85" s="268"/>
      <c r="J85" s="2">
        <v>70000</v>
      </c>
      <c r="K85" s="253"/>
      <c r="L85" s="12"/>
      <c r="M85" s="12"/>
      <c r="N85" s="12"/>
      <c r="O85" s="72"/>
    </row>
    <row r="86" spans="2:15" x14ac:dyDescent="0.25">
      <c r="B86" s="180"/>
      <c r="C86" s="257"/>
      <c r="D86" s="276"/>
      <c r="E86" s="268"/>
      <c r="F86" s="268"/>
      <c r="G86" s="268"/>
      <c r="H86" s="268"/>
      <c r="I86" s="268"/>
      <c r="J86" s="3">
        <v>46227</v>
      </c>
      <c r="K86" s="253"/>
      <c r="L86" s="12"/>
      <c r="M86" s="12"/>
      <c r="N86" s="12"/>
      <c r="O86" s="72"/>
    </row>
    <row r="87" spans="2:15" x14ac:dyDescent="0.25">
      <c r="B87" s="180"/>
      <c r="C87" s="256" t="s">
        <v>325</v>
      </c>
      <c r="D87" s="276"/>
      <c r="E87" s="268"/>
      <c r="F87" s="268"/>
      <c r="G87" s="268"/>
      <c r="H87" s="268"/>
      <c r="I87" s="268"/>
      <c r="J87" s="2">
        <v>70000</v>
      </c>
      <c r="K87" s="253"/>
      <c r="L87" s="12"/>
      <c r="M87" s="12"/>
      <c r="N87" s="12"/>
      <c r="O87" s="72"/>
    </row>
    <row r="88" spans="2:15" x14ac:dyDescent="0.25">
      <c r="B88" s="180"/>
      <c r="C88" s="257"/>
      <c r="D88" s="276"/>
      <c r="E88" s="268"/>
      <c r="F88" s="268"/>
      <c r="G88" s="268"/>
      <c r="H88" s="268"/>
      <c r="I88" s="268"/>
      <c r="J88" s="3">
        <v>46231</v>
      </c>
      <c r="K88" s="253"/>
      <c r="L88" s="12"/>
      <c r="M88" s="12"/>
      <c r="N88" s="12"/>
      <c r="O88" s="72"/>
    </row>
    <row r="89" spans="2:15" x14ac:dyDescent="0.25">
      <c r="B89" s="180"/>
      <c r="C89" s="256" t="s">
        <v>269</v>
      </c>
      <c r="D89" s="276"/>
      <c r="E89" s="268"/>
      <c r="F89" s="268"/>
      <c r="G89" s="268"/>
      <c r="H89" s="268"/>
      <c r="I89" s="272"/>
      <c r="J89" s="2">
        <v>70000</v>
      </c>
      <c r="K89" s="253"/>
      <c r="L89" s="12"/>
      <c r="M89" s="12"/>
      <c r="N89" s="12"/>
      <c r="O89" s="72"/>
    </row>
    <row r="90" spans="2:15" x14ac:dyDescent="0.25">
      <c r="B90" s="180"/>
      <c r="C90" s="257"/>
      <c r="D90" s="276"/>
      <c r="E90" s="268"/>
      <c r="F90" s="268"/>
      <c r="G90" s="268"/>
      <c r="H90" s="268"/>
      <c r="I90" s="272"/>
      <c r="J90" s="3">
        <v>46230</v>
      </c>
      <c r="K90" s="253"/>
      <c r="L90" s="12"/>
      <c r="M90" s="12"/>
      <c r="N90" s="12"/>
      <c r="O90" s="72"/>
    </row>
    <row r="91" spans="2:15" x14ac:dyDescent="0.25">
      <c r="B91" s="180"/>
      <c r="C91" s="256" t="s">
        <v>326</v>
      </c>
      <c r="D91" s="276"/>
      <c r="E91" s="268"/>
      <c r="F91" s="268"/>
      <c r="G91" s="268"/>
      <c r="H91" s="268"/>
      <c r="I91" s="268"/>
      <c r="J91" s="2">
        <v>70000</v>
      </c>
      <c r="K91" s="253"/>
      <c r="L91" s="12"/>
      <c r="M91" s="12"/>
      <c r="N91" s="12"/>
      <c r="O91" s="72"/>
    </row>
    <row r="92" spans="2:15" x14ac:dyDescent="0.25">
      <c r="B92" s="180"/>
      <c r="C92" s="257"/>
      <c r="D92" s="276"/>
      <c r="E92" s="268"/>
      <c r="F92" s="268"/>
      <c r="G92" s="268"/>
      <c r="H92" s="268"/>
      <c r="I92" s="268"/>
      <c r="J92" s="3">
        <v>46229</v>
      </c>
      <c r="K92" s="253"/>
      <c r="L92" s="12"/>
      <c r="M92" s="12"/>
      <c r="N92" s="12"/>
      <c r="O92" s="72"/>
    </row>
    <row r="93" spans="2:15" x14ac:dyDescent="0.25">
      <c r="B93" s="180"/>
      <c r="C93" s="256" t="s">
        <v>304</v>
      </c>
      <c r="D93" s="276"/>
      <c r="E93" s="268"/>
      <c r="F93" s="268"/>
      <c r="G93" s="268"/>
      <c r="H93" s="268"/>
      <c r="I93" s="268"/>
      <c r="J93" s="2">
        <v>70000</v>
      </c>
      <c r="K93" s="253"/>
      <c r="L93" s="12"/>
      <c r="M93" s="12"/>
      <c r="N93" s="12"/>
      <c r="O93" s="72"/>
    </row>
    <row r="94" spans="2:15" x14ac:dyDescent="0.25">
      <c r="B94" s="180"/>
      <c r="C94" s="259"/>
      <c r="D94" s="276"/>
      <c r="E94" s="268"/>
      <c r="F94" s="268"/>
      <c r="G94" s="268"/>
      <c r="H94" s="268"/>
      <c r="I94" s="268"/>
      <c r="J94" s="3">
        <v>46211</v>
      </c>
      <c r="K94" s="253"/>
      <c r="L94" s="12"/>
      <c r="M94" s="12"/>
      <c r="N94" s="12"/>
      <c r="O94" s="72"/>
    </row>
    <row r="95" spans="2:15" x14ac:dyDescent="0.25">
      <c r="B95" s="180"/>
      <c r="C95" s="259" t="s">
        <v>327</v>
      </c>
      <c r="D95" s="276"/>
      <c r="E95" s="268"/>
      <c r="F95" s="268"/>
      <c r="G95" s="268"/>
      <c r="H95" s="268"/>
      <c r="I95" s="4">
        <v>15000</v>
      </c>
      <c r="J95" s="2">
        <v>70000</v>
      </c>
      <c r="K95" s="253"/>
      <c r="L95" s="12"/>
      <c r="M95" s="12"/>
      <c r="N95" s="12"/>
      <c r="O95" s="72"/>
    </row>
    <row r="96" spans="2:15" x14ac:dyDescent="0.25">
      <c r="B96" s="180"/>
      <c r="C96" s="259"/>
      <c r="D96" s="276"/>
      <c r="E96" s="268"/>
      <c r="F96" s="268"/>
      <c r="G96" s="268"/>
      <c r="H96" s="268"/>
      <c r="I96" s="3">
        <v>46196</v>
      </c>
      <c r="J96" s="3">
        <v>46211</v>
      </c>
      <c r="K96" s="253"/>
      <c r="L96" s="12"/>
      <c r="M96" s="12"/>
      <c r="N96" s="12"/>
      <c r="O96" s="72"/>
    </row>
    <row r="97" spans="2:15" x14ac:dyDescent="0.25">
      <c r="B97" s="180"/>
      <c r="C97" s="259" t="s">
        <v>318</v>
      </c>
      <c r="D97" s="276"/>
      <c r="E97" s="268"/>
      <c r="F97" s="268"/>
      <c r="G97" s="268"/>
      <c r="H97" s="268"/>
      <c r="I97" s="268"/>
      <c r="J97" s="268"/>
      <c r="K97" s="2">
        <v>70000</v>
      </c>
      <c r="L97" s="12"/>
      <c r="M97" s="12"/>
      <c r="N97" s="12"/>
      <c r="O97" s="72"/>
    </row>
    <row r="98" spans="2:15" x14ac:dyDescent="0.25">
      <c r="B98" s="180"/>
      <c r="C98" s="259"/>
      <c r="D98" s="276"/>
      <c r="E98" s="268"/>
      <c r="F98" s="268"/>
      <c r="G98" s="268"/>
      <c r="H98" s="268"/>
      <c r="I98" s="268"/>
      <c r="J98" s="268"/>
      <c r="K98" s="3">
        <v>46237</v>
      </c>
      <c r="L98" s="12"/>
      <c r="M98" s="12"/>
      <c r="N98" s="12"/>
      <c r="O98" s="72"/>
    </row>
    <row r="99" spans="2:15" x14ac:dyDescent="0.25">
      <c r="B99" s="180"/>
      <c r="C99" s="265" t="s">
        <v>319</v>
      </c>
      <c r="D99" s="276"/>
      <c r="E99" s="268"/>
      <c r="F99" s="268"/>
      <c r="G99" s="268"/>
      <c r="H99" s="268"/>
      <c r="I99" s="268"/>
      <c r="J99" s="270"/>
      <c r="K99" s="2">
        <v>70000</v>
      </c>
      <c r="L99" s="12"/>
      <c r="M99" s="12"/>
      <c r="N99" s="12"/>
      <c r="O99" s="72"/>
    </row>
    <row r="100" spans="2:15" x14ac:dyDescent="0.25">
      <c r="B100" s="180"/>
      <c r="C100" s="265"/>
      <c r="D100" s="276"/>
      <c r="E100" s="268"/>
      <c r="F100" s="268"/>
      <c r="G100" s="268"/>
      <c r="H100" s="268"/>
      <c r="I100" s="268"/>
      <c r="J100" s="270"/>
      <c r="K100" s="3">
        <v>46237</v>
      </c>
      <c r="L100" s="12"/>
      <c r="M100" s="12"/>
      <c r="N100" s="12"/>
      <c r="O100" s="72"/>
    </row>
    <row r="101" spans="2:15" x14ac:dyDescent="0.25">
      <c r="B101" s="180"/>
      <c r="C101" s="260"/>
      <c r="D101" s="275"/>
      <c r="E101" s="12"/>
      <c r="F101" s="12"/>
      <c r="G101" s="12"/>
      <c r="H101" s="12"/>
      <c r="I101" s="12"/>
      <c r="J101" s="3"/>
      <c r="K101" s="12"/>
      <c r="L101" s="12"/>
      <c r="M101" s="12"/>
      <c r="N101" s="12"/>
      <c r="O101" s="72"/>
    </row>
    <row r="102" spans="2:15" x14ac:dyDescent="0.25">
      <c r="B102" s="180"/>
      <c r="C102" s="260"/>
      <c r="D102" s="275"/>
      <c r="E102" s="12"/>
      <c r="F102" s="12"/>
      <c r="G102" s="12"/>
      <c r="H102" s="12"/>
      <c r="I102" s="12"/>
      <c r="J102" s="3"/>
      <c r="K102" s="12"/>
      <c r="L102" s="12"/>
      <c r="M102" s="12"/>
      <c r="N102" s="12"/>
      <c r="O102" s="72"/>
    </row>
    <row r="103" spans="2:15" ht="15.75" thickBot="1" x14ac:dyDescent="0.3">
      <c r="B103" s="181"/>
      <c r="C103" s="266"/>
      <c r="D103" s="27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57"/>
    </row>
    <row r="104" spans="2:15" hidden="1" x14ac:dyDescent="0.25">
      <c r="B104" s="179" t="s">
        <v>4</v>
      </c>
      <c r="C104" s="184" t="s">
        <v>27</v>
      </c>
      <c r="D104" s="60"/>
    </row>
    <row r="105" spans="2:15" hidden="1" x14ac:dyDescent="0.25">
      <c r="B105" s="180"/>
      <c r="C105" s="183"/>
      <c r="D105" s="60"/>
    </row>
    <row r="106" spans="2:15" hidden="1" x14ac:dyDescent="0.25">
      <c r="B106" s="180"/>
      <c r="C106" s="182" t="s">
        <v>29</v>
      </c>
      <c r="D106" s="60"/>
    </row>
    <row r="107" spans="2:15" hidden="1" x14ac:dyDescent="0.25">
      <c r="B107" s="180"/>
      <c r="C107" s="183"/>
      <c r="D107" s="60"/>
    </row>
    <row r="108" spans="2:15" hidden="1" x14ac:dyDescent="0.25">
      <c r="B108" s="180"/>
      <c r="C108" s="182" t="s">
        <v>30</v>
      </c>
      <c r="D108" s="60"/>
    </row>
    <row r="109" spans="2:15" hidden="1" x14ac:dyDescent="0.25">
      <c r="B109" s="180"/>
      <c r="C109" s="183"/>
      <c r="D109" s="60"/>
    </row>
    <row r="110" spans="2:15" hidden="1" x14ac:dyDescent="0.25">
      <c r="B110" s="180"/>
      <c r="C110" s="182" t="s">
        <v>31</v>
      </c>
      <c r="D110" s="60"/>
    </row>
    <row r="111" spans="2:15" hidden="1" x14ac:dyDescent="0.25">
      <c r="B111" s="180"/>
      <c r="C111" s="183"/>
      <c r="D111" s="60"/>
    </row>
    <row r="112" spans="2:15" hidden="1" x14ac:dyDescent="0.25">
      <c r="B112" s="180"/>
      <c r="C112" s="182" t="s">
        <v>33</v>
      </c>
      <c r="D112" s="60"/>
    </row>
    <row r="113" spans="2:4" hidden="1" x14ac:dyDescent="0.25">
      <c r="B113" s="180"/>
      <c r="C113" s="183"/>
      <c r="D113" s="60"/>
    </row>
    <row r="114" spans="2:4" hidden="1" x14ac:dyDescent="0.25">
      <c r="B114" s="180"/>
      <c r="C114" s="182" t="s">
        <v>69</v>
      </c>
      <c r="D114" s="60"/>
    </row>
    <row r="115" spans="2:4" hidden="1" x14ac:dyDescent="0.25">
      <c r="B115" s="180"/>
      <c r="C115" s="183"/>
      <c r="D115" s="60"/>
    </row>
    <row r="116" spans="2:4" hidden="1" x14ac:dyDescent="0.25">
      <c r="B116" s="180"/>
      <c r="C116" s="182"/>
      <c r="D116" s="60"/>
    </row>
    <row r="117" spans="2:4" hidden="1" x14ac:dyDescent="0.25">
      <c r="B117" s="180"/>
      <c r="C117" s="183"/>
      <c r="D117" s="60"/>
    </row>
    <row r="118" spans="2:4" hidden="1" x14ac:dyDescent="0.25">
      <c r="B118" s="180"/>
      <c r="C118" s="182"/>
      <c r="D118" s="60"/>
    </row>
    <row r="119" spans="2:4" hidden="1" x14ac:dyDescent="0.25">
      <c r="B119" s="180"/>
      <c r="C119" s="183"/>
      <c r="D119" s="60"/>
    </row>
    <row r="120" spans="2:4" hidden="1" x14ac:dyDescent="0.25">
      <c r="B120" s="180"/>
      <c r="C120" s="182"/>
      <c r="D120" s="60"/>
    </row>
    <row r="121" spans="2:4" hidden="1" x14ac:dyDescent="0.25">
      <c r="B121" s="180"/>
      <c r="C121" s="183"/>
      <c r="D121" s="60"/>
    </row>
    <row r="122" spans="2:4" hidden="1" x14ac:dyDescent="0.25">
      <c r="B122" s="180"/>
      <c r="C122" s="182"/>
      <c r="D122" s="60"/>
    </row>
    <row r="123" spans="2:4" hidden="1" x14ac:dyDescent="0.25">
      <c r="B123" s="180"/>
      <c r="C123" s="183"/>
      <c r="D123" s="60"/>
    </row>
    <row r="124" spans="2:4" ht="15.75" hidden="1" thickBot="1" x14ac:dyDescent="0.3">
      <c r="B124" s="181"/>
      <c r="C124" s="50"/>
      <c r="D124" s="60"/>
    </row>
  </sheetData>
  <mergeCells count="70">
    <mergeCell ref="J73:J74"/>
    <mergeCell ref="H79:H80"/>
    <mergeCell ref="T8:T9"/>
    <mergeCell ref="T10:T11"/>
    <mergeCell ref="T12:T13"/>
    <mergeCell ref="S12:S13"/>
    <mergeCell ref="S8:S9"/>
    <mergeCell ref="S10:S11"/>
    <mergeCell ref="G69:G70"/>
    <mergeCell ref="C5:C6"/>
    <mergeCell ref="C17:C18"/>
    <mergeCell ref="C13:C14"/>
    <mergeCell ref="C7:C8"/>
    <mergeCell ref="D5:O5"/>
    <mergeCell ref="C35:C36"/>
    <mergeCell ref="B5:B6"/>
    <mergeCell ref="B7:B68"/>
    <mergeCell ref="C21:C22"/>
    <mergeCell ref="C33:C34"/>
    <mergeCell ref="C37:C38"/>
    <mergeCell ref="C9:C10"/>
    <mergeCell ref="C11:C12"/>
    <mergeCell ref="C15:C16"/>
    <mergeCell ref="C23:C24"/>
    <mergeCell ref="C19:C20"/>
    <mergeCell ref="C53:C54"/>
    <mergeCell ref="C55:C56"/>
    <mergeCell ref="C57:C58"/>
    <mergeCell ref="C71:C72"/>
    <mergeCell ref="C61:C62"/>
    <mergeCell ref="C73:C74"/>
    <mergeCell ref="C25:C26"/>
    <mergeCell ref="C27:C28"/>
    <mergeCell ref="C29:C30"/>
    <mergeCell ref="C31:C32"/>
    <mergeCell ref="C39:C40"/>
    <mergeCell ref="C59:C60"/>
    <mergeCell ref="C75:C76"/>
    <mergeCell ref="C69:C70"/>
    <mergeCell ref="B104:B124"/>
    <mergeCell ref="C106:C107"/>
    <mergeCell ref="C108:C109"/>
    <mergeCell ref="C110:C111"/>
    <mergeCell ref="C112:C113"/>
    <mergeCell ref="C114:C115"/>
    <mergeCell ref="C116:C117"/>
    <mergeCell ref="C120:C121"/>
    <mergeCell ref="C118:C119"/>
    <mergeCell ref="C122:C123"/>
    <mergeCell ref="C104:C105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63:C64"/>
    <mergeCell ref="B69:B103"/>
    <mergeCell ref="C81:C82"/>
    <mergeCell ref="C51:C52"/>
    <mergeCell ref="C41:C42"/>
    <mergeCell ref="C43:C44"/>
    <mergeCell ref="C45:C46"/>
    <mergeCell ref="C47:C48"/>
    <mergeCell ref="C49:C50"/>
    <mergeCell ref="C79:C80"/>
    <mergeCell ref="C77:C78"/>
  </mergeCells>
  <phoneticPr fontId="4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77F2-5B29-4FF4-B91B-926C410A4C70}">
  <sheetPr>
    <tabColor rgb="FFFFC000"/>
  </sheetPr>
  <dimension ref="B1:CA109"/>
  <sheetViews>
    <sheetView topLeftCell="AN1" zoomScaleNormal="100" workbookViewId="0">
      <selection activeCell="AT17" sqref="AT17"/>
    </sheetView>
  </sheetViews>
  <sheetFormatPr baseColWidth="10" defaultRowHeight="15" x14ac:dyDescent="0.25"/>
  <cols>
    <col min="2" max="2" width="16.5703125" customWidth="1"/>
    <col min="3" max="3" width="30" bestFit="1" customWidth="1"/>
    <col min="4" max="4" width="13.28515625" bestFit="1" customWidth="1"/>
    <col min="10" max="10" width="23.7109375" bestFit="1" customWidth="1"/>
    <col min="11" max="11" width="10.5703125" bestFit="1" customWidth="1"/>
    <col min="12" max="12" width="12.5703125" bestFit="1" customWidth="1"/>
    <col min="13" max="13" width="17.28515625" bestFit="1" customWidth="1"/>
    <col min="14" max="14" width="18.85546875" bestFit="1" customWidth="1"/>
    <col min="15" max="16" width="12.28515625" customWidth="1"/>
    <col min="17" max="17" width="10.42578125" style="1" bestFit="1" customWidth="1"/>
    <col min="18" max="18" width="5.140625" style="1" bestFit="1" customWidth="1"/>
    <col min="19" max="19" width="12.28515625" style="1" bestFit="1" customWidth="1"/>
    <col min="20" max="20" width="26.28515625" style="1" customWidth="1"/>
    <col min="21" max="21" width="7" style="1" bestFit="1" customWidth="1"/>
    <col min="22" max="22" width="11.42578125" style="1"/>
    <col min="23" max="23" width="22.140625" style="1" bestFit="1" customWidth="1"/>
    <col min="24" max="28" width="11.42578125" style="1"/>
    <col min="29" max="29" width="14.7109375" style="1" bestFit="1" customWidth="1"/>
    <col min="30" max="30" width="15.42578125" bestFit="1" customWidth="1"/>
    <col min="31" max="31" width="10.42578125" style="1" bestFit="1" customWidth="1"/>
    <col min="32" max="32" width="22.140625" style="1" bestFit="1" customWidth="1"/>
    <col min="33" max="33" width="5.85546875" style="1" customWidth="1"/>
    <col min="34" max="34" width="4.140625" style="1" customWidth="1"/>
    <col min="35" max="38" width="11.42578125" style="1"/>
    <col min="39" max="39" width="15.42578125" bestFit="1" customWidth="1"/>
    <col min="40" max="40" width="10.42578125" style="1" bestFit="1" customWidth="1"/>
    <col min="41" max="41" width="22.140625" style="1" bestFit="1" customWidth="1"/>
    <col min="42" max="42" width="7" style="1" bestFit="1" customWidth="1"/>
    <col min="43" max="43" width="5.7109375" style="1" customWidth="1"/>
    <col min="44" max="47" width="11.42578125" style="1"/>
    <col min="48" max="48" width="15.42578125" bestFit="1" customWidth="1"/>
    <col min="49" max="49" width="10.42578125" style="1" bestFit="1" customWidth="1"/>
    <col min="50" max="50" width="22.140625" style="1" bestFit="1" customWidth="1"/>
    <col min="51" max="51" width="5" style="1" customWidth="1"/>
    <col min="52" max="52" width="5.5703125" style="1" customWidth="1"/>
    <col min="53" max="53" width="3" style="1" bestFit="1" customWidth="1"/>
    <col min="54" max="54" width="5.140625" style="1" bestFit="1" customWidth="1"/>
    <col min="55" max="55" width="10.28515625" style="1" bestFit="1" customWidth="1"/>
    <col min="56" max="56" width="15.5703125" style="1" bestFit="1" customWidth="1"/>
    <col min="57" max="57" width="7.5703125" style="1" bestFit="1" customWidth="1"/>
    <col min="58" max="58" width="9" style="1" bestFit="1" customWidth="1"/>
    <col min="59" max="59" width="22.140625" bestFit="1" customWidth="1"/>
    <col min="61" max="61" width="11.42578125" customWidth="1"/>
    <col min="62" max="62" width="19.7109375" customWidth="1"/>
    <col min="63" max="63" width="11.42578125" customWidth="1"/>
    <col min="64" max="64" width="18.42578125" bestFit="1" customWidth="1"/>
    <col min="65" max="65" width="13.140625" customWidth="1"/>
    <col min="66" max="66" width="8" bestFit="1" customWidth="1"/>
  </cols>
  <sheetData>
    <row r="1" spans="2:79" ht="15" customHeight="1" x14ac:dyDescent="0.25">
      <c r="Q1" s="211" t="s">
        <v>248</v>
      </c>
      <c r="R1" s="212"/>
      <c r="S1" s="212"/>
      <c r="T1" s="212"/>
      <c r="U1" s="212"/>
      <c r="V1" s="212"/>
      <c r="W1" s="215"/>
      <c r="X1" s="82"/>
      <c r="Y1" s="82"/>
      <c r="Z1" s="211" t="s">
        <v>218</v>
      </c>
      <c r="AA1" s="212"/>
      <c r="AB1" s="212"/>
      <c r="AC1" s="212"/>
      <c r="AD1" s="212"/>
      <c r="AE1" s="212"/>
      <c r="AF1" s="215"/>
      <c r="AG1" s="82"/>
      <c r="AH1" s="82"/>
      <c r="AI1" s="211" t="s">
        <v>244</v>
      </c>
      <c r="AJ1" s="212"/>
      <c r="AK1" s="212"/>
      <c r="AL1" s="212"/>
      <c r="AM1" s="212"/>
      <c r="AN1" s="212"/>
      <c r="AO1" s="215"/>
      <c r="AP1" s="82"/>
      <c r="AQ1" s="82"/>
      <c r="AR1" s="211" t="s">
        <v>246</v>
      </c>
      <c r="AS1" s="212"/>
      <c r="AT1" s="212"/>
      <c r="AU1" s="212"/>
      <c r="AV1" s="212"/>
      <c r="AW1" s="212"/>
      <c r="AX1" s="215"/>
      <c r="AY1" s="150"/>
      <c r="AZ1" s="150"/>
      <c r="BA1" s="211" t="s">
        <v>247</v>
      </c>
      <c r="BB1" s="212"/>
      <c r="BC1" s="212"/>
      <c r="BD1" s="212"/>
      <c r="BE1" s="212"/>
      <c r="BF1" s="212"/>
      <c r="BG1" s="215"/>
      <c r="BH1" s="150"/>
      <c r="BI1" s="209" t="s">
        <v>156</v>
      </c>
      <c r="BJ1" s="251"/>
      <c r="BK1" s="251"/>
      <c r="BL1" s="251"/>
      <c r="BM1" s="251"/>
      <c r="BN1" s="251"/>
      <c r="BQ1" s="204" t="s">
        <v>180</v>
      </c>
      <c r="BR1" s="205"/>
      <c r="BS1" s="212"/>
      <c r="BT1" s="212"/>
      <c r="BU1" s="212"/>
      <c r="BV1" s="211"/>
      <c r="BW1" s="212"/>
      <c r="BX1" s="215"/>
    </row>
    <row r="2" spans="2:79" ht="19.5" thickBot="1" x14ac:dyDescent="0.3">
      <c r="Q2" s="216"/>
      <c r="R2" s="250"/>
      <c r="S2" s="250"/>
      <c r="T2" s="250"/>
      <c r="U2" s="250"/>
      <c r="V2" s="250"/>
      <c r="W2" s="217"/>
      <c r="X2" s="82"/>
      <c r="Y2" s="82"/>
      <c r="Z2" s="216"/>
      <c r="AA2" s="250"/>
      <c r="AB2" s="250"/>
      <c r="AC2" s="250"/>
      <c r="AD2" s="250"/>
      <c r="AE2" s="250"/>
      <c r="AF2" s="217"/>
      <c r="AG2" s="82"/>
      <c r="AH2" s="82"/>
      <c r="AI2" s="216"/>
      <c r="AJ2" s="250"/>
      <c r="AK2" s="250"/>
      <c r="AL2" s="250"/>
      <c r="AM2" s="250"/>
      <c r="AN2" s="250"/>
      <c r="AO2" s="217"/>
      <c r="AP2" s="82"/>
      <c r="AQ2" s="82"/>
      <c r="AR2" s="216"/>
      <c r="AS2" s="250"/>
      <c r="AT2" s="250"/>
      <c r="AU2" s="250"/>
      <c r="AV2" s="250"/>
      <c r="AW2" s="250"/>
      <c r="AX2" s="217"/>
      <c r="AY2" s="150"/>
      <c r="AZ2" s="150"/>
      <c r="BA2" s="216"/>
      <c r="BB2" s="250"/>
      <c r="BC2" s="250"/>
      <c r="BD2" s="250"/>
      <c r="BE2" s="250"/>
      <c r="BF2" s="250"/>
      <c r="BG2" s="217"/>
      <c r="BH2" s="150"/>
      <c r="BI2" s="206"/>
      <c r="BJ2" s="207"/>
      <c r="BK2" s="207"/>
      <c r="BL2" s="207"/>
      <c r="BM2" s="207"/>
      <c r="BN2" s="207"/>
      <c r="BQ2" s="213"/>
      <c r="BR2" s="214"/>
      <c r="BS2" s="214"/>
      <c r="BT2" s="214"/>
      <c r="BU2" s="214"/>
      <c r="BV2" s="213"/>
      <c r="BW2" s="214"/>
      <c r="BX2" s="218"/>
    </row>
    <row r="3" spans="2:79" ht="45.75" thickBot="1" x14ac:dyDescent="0.3">
      <c r="B3" s="230" t="s">
        <v>20</v>
      </c>
      <c r="C3" s="231"/>
      <c r="D3" s="231"/>
      <c r="E3" s="231"/>
      <c r="F3" s="232"/>
      <c r="J3" s="44" t="s">
        <v>83</v>
      </c>
      <c r="K3" s="44" t="s">
        <v>22</v>
      </c>
      <c r="L3" s="44" t="s">
        <v>23</v>
      </c>
      <c r="M3" s="45" t="s">
        <v>41</v>
      </c>
      <c r="N3" s="45" t="s">
        <v>39</v>
      </c>
      <c r="Q3" s="155"/>
      <c r="R3" s="156" t="s">
        <v>22</v>
      </c>
      <c r="S3" s="156" t="s">
        <v>23</v>
      </c>
      <c r="T3" s="156" t="s">
        <v>112</v>
      </c>
      <c r="U3" s="156" t="s">
        <v>113</v>
      </c>
      <c r="V3" s="156" t="s">
        <v>114</v>
      </c>
      <c r="W3" s="157" t="s">
        <v>217</v>
      </c>
      <c r="X3" s="129"/>
      <c r="Y3" s="129"/>
      <c r="Z3" s="155" t="s">
        <v>297</v>
      </c>
      <c r="AA3" s="156" t="s">
        <v>22</v>
      </c>
      <c r="AB3" s="156" t="s">
        <v>23</v>
      </c>
      <c r="AC3" s="156" t="s">
        <v>112</v>
      </c>
      <c r="AD3" s="156" t="s">
        <v>113</v>
      </c>
      <c r="AE3" s="156" t="s">
        <v>114</v>
      </c>
      <c r="AF3" s="157" t="s">
        <v>217</v>
      </c>
      <c r="AG3" s="129"/>
      <c r="AH3" s="129"/>
      <c r="AI3" s="155" t="s">
        <v>245</v>
      </c>
      <c r="AJ3" s="156" t="s">
        <v>22</v>
      </c>
      <c r="AK3" s="156" t="s">
        <v>23</v>
      </c>
      <c r="AL3" s="156" t="s">
        <v>112</v>
      </c>
      <c r="AM3" s="156" t="s">
        <v>113</v>
      </c>
      <c r="AN3" s="156" t="s">
        <v>114</v>
      </c>
      <c r="AO3" s="157" t="s">
        <v>217</v>
      </c>
      <c r="AP3" s="129"/>
      <c r="AQ3" s="129"/>
      <c r="AR3" s="155"/>
      <c r="AS3" s="156" t="s">
        <v>22</v>
      </c>
      <c r="AT3" s="156" t="s">
        <v>23</v>
      </c>
      <c r="AU3" s="156" t="s">
        <v>112</v>
      </c>
      <c r="AV3" s="156" t="s">
        <v>113</v>
      </c>
      <c r="AW3" s="156" t="s">
        <v>114</v>
      </c>
      <c r="AX3" s="157" t="s">
        <v>217</v>
      </c>
      <c r="AY3" s="129"/>
      <c r="AZ3" s="129"/>
      <c r="BA3" s="155"/>
      <c r="BB3" s="156" t="s">
        <v>22</v>
      </c>
      <c r="BC3" s="156" t="s">
        <v>23</v>
      </c>
      <c r="BD3" s="156" t="s">
        <v>112</v>
      </c>
      <c r="BE3" s="156" t="s">
        <v>113</v>
      </c>
      <c r="BF3" s="156" t="s">
        <v>114</v>
      </c>
      <c r="BG3" s="157" t="s">
        <v>217</v>
      </c>
      <c r="BH3" s="129"/>
      <c r="BI3" s="75" t="s">
        <v>126</v>
      </c>
      <c r="BJ3" s="75" t="s">
        <v>22</v>
      </c>
      <c r="BK3" s="75" t="s">
        <v>23</v>
      </c>
      <c r="BL3" s="75" t="s">
        <v>112</v>
      </c>
      <c r="BM3" s="75" t="s">
        <v>113</v>
      </c>
      <c r="BN3" s="75" t="s">
        <v>114</v>
      </c>
      <c r="BQ3" s="75" t="s">
        <v>131</v>
      </c>
      <c r="BR3" s="75" t="s">
        <v>181</v>
      </c>
      <c r="BS3" s="75" t="s">
        <v>132</v>
      </c>
      <c r="BT3" s="75" t="s">
        <v>133</v>
      </c>
      <c r="BU3" s="75" t="s">
        <v>112</v>
      </c>
      <c r="BV3" s="75" t="s">
        <v>23</v>
      </c>
      <c r="BW3" s="75" t="s">
        <v>113</v>
      </c>
      <c r="BX3" s="75" t="s">
        <v>114</v>
      </c>
    </row>
    <row r="4" spans="2:79" ht="15.75" x14ac:dyDescent="0.25">
      <c r="B4" s="233" t="s">
        <v>0</v>
      </c>
      <c r="C4" s="235" t="s">
        <v>2</v>
      </c>
      <c r="D4" s="235" t="s">
        <v>21</v>
      </c>
      <c r="E4" s="235" t="s">
        <v>64</v>
      </c>
      <c r="F4" s="237" t="s">
        <v>22</v>
      </c>
      <c r="J4" s="5">
        <v>1</v>
      </c>
      <c r="K4" s="41">
        <v>4</v>
      </c>
      <c r="L4" s="41" t="s">
        <v>40</v>
      </c>
      <c r="M4" s="41" t="s">
        <v>42</v>
      </c>
      <c r="N4" s="10" t="s">
        <v>44</v>
      </c>
      <c r="Q4" s="149">
        <v>49</v>
      </c>
      <c r="R4" s="142">
        <v>6</v>
      </c>
      <c r="S4" s="142" t="s">
        <v>40</v>
      </c>
      <c r="T4" s="142" t="s">
        <v>151</v>
      </c>
      <c r="U4" s="76" t="s">
        <v>171</v>
      </c>
      <c r="V4" s="146">
        <v>95000</v>
      </c>
      <c r="W4" s="93" t="s">
        <v>265</v>
      </c>
      <c r="X4" s="60"/>
      <c r="Y4" s="60"/>
      <c r="Z4" s="149">
        <v>8</v>
      </c>
      <c r="AA4" s="142">
        <v>12</v>
      </c>
      <c r="AB4" s="142" t="s">
        <v>40</v>
      </c>
      <c r="AC4" s="142" t="s">
        <v>118</v>
      </c>
      <c r="AD4" s="76" t="s">
        <v>110</v>
      </c>
      <c r="AE4" s="146">
        <v>100000</v>
      </c>
      <c r="AF4" s="93" t="s">
        <v>220</v>
      </c>
      <c r="AG4" s="60"/>
      <c r="AH4" s="60"/>
      <c r="AI4" s="149">
        <v>15</v>
      </c>
      <c r="AJ4" s="142">
        <v>16</v>
      </c>
      <c r="AK4" s="142" t="s">
        <v>40</v>
      </c>
      <c r="AL4" s="142" t="s">
        <v>123</v>
      </c>
      <c r="AM4" s="76" t="s">
        <v>110</v>
      </c>
      <c r="AN4" s="146">
        <v>100000</v>
      </c>
      <c r="AO4" s="20" t="s">
        <v>224</v>
      </c>
      <c r="AP4" s="60"/>
      <c r="AQ4" s="60"/>
      <c r="AR4" s="149">
        <v>23</v>
      </c>
      <c r="AS4" s="142" t="s">
        <v>19</v>
      </c>
      <c r="AT4" s="142" t="s">
        <v>117</v>
      </c>
      <c r="AU4" s="142" t="s">
        <v>124</v>
      </c>
      <c r="AV4" s="76" t="s">
        <v>110</v>
      </c>
      <c r="AW4" s="146">
        <v>100000</v>
      </c>
      <c r="AX4" s="20" t="s">
        <v>223</v>
      </c>
      <c r="AY4" s="60"/>
      <c r="AZ4" s="60"/>
      <c r="BA4" s="153">
        <v>29</v>
      </c>
      <c r="BB4" s="143" t="s">
        <v>19</v>
      </c>
      <c r="BC4" s="143" t="s">
        <v>115</v>
      </c>
      <c r="BD4" s="143" t="s">
        <v>116</v>
      </c>
      <c r="BE4" s="77" t="s">
        <v>110</v>
      </c>
      <c r="BF4" s="145">
        <v>100000</v>
      </c>
      <c r="BG4" s="154" t="s">
        <v>221</v>
      </c>
      <c r="BH4" s="60"/>
      <c r="BI4" s="143">
        <v>8</v>
      </c>
      <c r="BJ4" s="143" t="s">
        <v>32</v>
      </c>
      <c r="BK4" s="143" t="s">
        <v>115</v>
      </c>
      <c r="BL4" s="143" t="s">
        <v>119</v>
      </c>
      <c r="BM4" s="77" t="s">
        <v>110</v>
      </c>
      <c r="BN4" s="145">
        <v>70000</v>
      </c>
      <c r="BQ4" s="56">
        <v>24</v>
      </c>
      <c r="BR4" s="111"/>
      <c r="BS4" s="19" t="s">
        <v>19</v>
      </c>
      <c r="BT4" s="80" t="s">
        <v>40</v>
      </c>
      <c r="BU4" s="19" t="s">
        <v>134</v>
      </c>
      <c r="BV4" s="19" t="s">
        <v>153</v>
      </c>
      <c r="BW4" s="77" t="s">
        <v>179</v>
      </c>
      <c r="BX4" s="92">
        <v>95000</v>
      </c>
      <c r="BY4">
        <v>85000</v>
      </c>
      <c r="BZ4">
        <v>85000</v>
      </c>
    </row>
    <row r="5" spans="2:79" ht="16.5" thickBot="1" x14ac:dyDescent="0.3">
      <c r="B5" s="234"/>
      <c r="C5" s="236"/>
      <c r="D5" s="236"/>
      <c r="E5" s="236"/>
      <c r="F5" s="238"/>
      <c r="J5" s="56">
        <v>3</v>
      </c>
      <c r="K5" s="19" t="s">
        <v>18</v>
      </c>
      <c r="L5" s="19" t="s">
        <v>117</v>
      </c>
      <c r="M5" s="19" t="s">
        <v>169</v>
      </c>
      <c r="N5" s="110">
        <v>35000</v>
      </c>
      <c r="Q5" s="149">
        <v>50</v>
      </c>
      <c r="R5" s="142">
        <v>8</v>
      </c>
      <c r="S5" s="142" t="s">
        <v>40</v>
      </c>
      <c r="T5" s="142" t="s">
        <v>151</v>
      </c>
      <c r="U5" s="76" t="s">
        <v>171</v>
      </c>
      <c r="V5" s="146">
        <v>85000</v>
      </c>
      <c r="W5" s="93" t="s">
        <v>228</v>
      </c>
      <c r="X5" s="60"/>
      <c r="Y5" s="60"/>
      <c r="Z5" s="149">
        <v>7</v>
      </c>
      <c r="AA5" s="142">
        <v>6</v>
      </c>
      <c r="AB5" s="142" t="s">
        <v>40</v>
      </c>
      <c r="AC5" s="142" t="s">
        <v>120</v>
      </c>
      <c r="AD5" s="76" t="s">
        <v>110</v>
      </c>
      <c r="AE5" s="146">
        <v>100000</v>
      </c>
      <c r="AF5" s="93" t="s">
        <v>219</v>
      </c>
      <c r="AG5" s="60"/>
      <c r="AH5" s="60"/>
      <c r="AI5" s="149">
        <v>10</v>
      </c>
      <c r="AJ5" s="142">
        <v>10</v>
      </c>
      <c r="AK5" s="142" t="s">
        <v>40</v>
      </c>
      <c r="AL5" s="142" t="s">
        <v>200</v>
      </c>
      <c r="AM5" s="76" t="s">
        <v>171</v>
      </c>
      <c r="AN5" s="146">
        <v>100000</v>
      </c>
      <c r="AO5" s="72" t="s">
        <v>231</v>
      </c>
      <c r="AP5" s="60"/>
      <c r="AQ5" s="60"/>
      <c r="AR5" s="149">
        <v>3</v>
      </c>
      <c r="AS5" s="142" t="s">
        <v>18</v>
      </c>
      <c r="AT5" s="142" t="s">
        <v>170</v>
      </c>
      <c r="AU5" s="142" t="s">
        <v>166</v>
      </c>
      <c r="AV5" s="76" t="s">
        <v>171</v>
      </c>
      <c r="AW5" s="146">
        <v>100000</v>
      </c>
      <c r="AX5" s="20" t="s">
        <v>226</v>
      </c>
      <c r="AY5" s="60"/>
      <c r="AZ5" s="60"/>
      <c r="BA5" s="149">
        <v>3</v>
      </c>
      <c r="BB5" s="142" t="s">
        <v>19</v>
      </c>
      <c r="BC5" s="142" t="s">
        <v>115</v>
      </c>
      <c r="BD5" s="142" t="s">
        <v>201</v>
      </c>
      <c r="BE5" s="76" t="s">
        <v>171</v>
      </c>
      <c r="BF5" s="146">
        <v>100000</v>
      </c>
      <c r="BG5" s="72" t="s">
        <v>235</v>
      </c>
      <c r="BH5" s="60"/>
      <c r="BI5" s="142">
        <v>23</v>
      </c>
      <c r="BJ5" s="142" t="s">
        <v>19</v>
      </c>
      <c r="BK5" s="142" t="s">
        <v>115</v>
      </c>
      <c r="BL5" s="142" t="s">
        <v>122</v>
      </c>
      <c r="BM5" s="76" t="s">
        <v>103</v>
      </c>
      <c r="BN5" s="146">
        <v>70000</v>
      </c>
      <c r="BQ5" s="6">
        <v>4</v>
      </c>
      <c r="BR5" s="11"/>
      <c r="BS5" s="12" t="s">
        <v>26</v>
      </c>
      <c r="BT5" s="12" t="s">
        <v>26</v>
      </c>
      <c r="BU5" s="12" t="s">
        <v>135</v>
      </c>
      <c r="BV5" s="19" t="s">
        <v>153</v>
      </c>
      <c r="BW5" s="77" t="s">
        <v>179</v>
      </c>
      <c r="BX5" s="93">
        <v>165000</v>
      </c>
      <c r="BY5">
        <f>85000+54000</f>
        <v>139000</v>
      </c>
      <c r="BZ5">
        <v>85000</v>
      </c>
      <c r="CA5">
        <v>54000</v>
      </c>
    </row>
    <row r="6" spans="2:79" ht="15.75" x14ac:dyDescent="0.25">
      <c r="B6" s="219" t="s">
        <v>1</v>
      </c>
      <c r="C6" s="28" t="s">
        <v>3</v>
      </c>
      <c r="D6" s="43">
        <v>95000</v>
      </c>
      <c r="E6" s="26" t="e">
        <f>#REF!</f>
        <v>#REF!</v>
      </c>
      <c r="F6" s="34" t="s">
        <v>63</v>
      </c>
      <c r="J6" s="6">
        <v>4</v>
      </c>
      <c r="K6" s="16">
        <v>4</v>
      </c>
      <c r="L6" s="16" t="s">
        <v>40</v>
      </c>
      <c r="M6" s="16" t="s">
        <v>42</v>
      </c>
      <c r="N6" s="46" t="s">
        <v>44</v>
      </c>
      <c r="Q6" s="149">
        <v>51</v>
      </c>
      <c r="R6" s="142">
        <v>8</v>
      </c>
      <c r="S6" s="142" t="s">
        <v>40</v>
      </c>
      <c r="T6" s="142" t="s">
        <v>151</v>
      </c>
      <c r="U6" s="76" t="s">
        <v>171</v>
      </c>
      <c r="V6" s="146">
        <v>85000</v>
      </c>
      <c r="W6" s="93" t="s">
        <v>229</v>
      </c>
      <c r="X6" s="60"/>
      <c r="Y6" s="60"/>
      <c r="Z6" s="149">
        <v>10</v>
      </c>
      <c r="AA6" s="142">
        <v>8</v>
      </c>
      <c r="AB6" s="142" t="s">
        <v>40</v>
      </c>
      <c r="AC6" s="142" t="s">
        <v>121</v>
      </c>
      <c r="AD6" s="76" t="s">
        <v>110</v>
      </c>
      <c r="AE6" s="146">
        <v>100000</v>
      </c>
      <c r="AF6" s="93" t="s">
        <v>222</v>
      </c>
      <c r="AG6" s="60"/>
      <c r="AH6" s="60"/>
      <c r="AI6" s="149">
        <v>29</v>
      </c>
      <c r="AJ6" s="142" t="s">
        <v>18</v>
      </c>
      <c r="AK6" s="142" t="s">
        <v>117</v>
      </c>
      <c r="AL6" s="142" t="s">
        <v>207</v>
      </c>
      <c r="AM6" s="76" t="s">
        <v>171</v>
      </c>
      <c r="AN6" s="146">
        <v>120000</v>
      </c>
      <c r="AO6" s="20" t="s">
        <v>241</v>
      </c>
      <c r="AP6" s="60"/>
      <c r="AQ6" s="60"/>
      <c r="AR6" s="149">
        <v>16</v>
      </c>
      <c r="AS6" s="142" t="s">
        <v>19</v>
      </c>
      <c r="AT6" s="142" t="s">
        <v>117</v>
      </c>
      <c r="AU6" s="142" t="s">
        <v>189</v>
      </c>
      <c r="AV6" s="76" t="s">
        <v>171</v>
      </c>
      <c r="AW6" s="146">
        <v>100000</v>
      </c>
      <c r="AX6" s="20" t="s">
        <v>227</v>
      </c>
      <c r="AY6" s="60"/>
      <c r="AZ6" s="60"/>
      <c r="BA6" s="149">
        <v>31</v>
      </c>
      <c r="BB6" s="142" t="s">
        <v>26</v>
      </c>
      <c r="BC6" s="142" t="s">
        <v>115</v>
      </c>
      <c r="BD6" s="142" t="s">
        <v>309</v>
      </c>
      <c r="BE6" s="76" t="s">
        <v>171</v>
      </c>
      <c r="BF6" s="146">
        <v>120000</v>
      </c>
      <c r="BG6" s="20" t="s">
        <v>286</v>
      </c>
      <c r="BH6" s="60"/>
      <c r="BI6" s="142">
        <v>14</v>
      </c>
      <c r="BJ6" s="142" t="s">
        <v>18</v>
      </c>
      <c r="BK6" s="142" t="s">
        <v>115</v>
      </c>
      <c r="BL6" s="142" t="s">
        <v>125</v>
      </c>
      <c r="BM6" s="77" t="s">
        <v>110</v>
      </c>
      <c r="BN6" s="146">
        <v>70000</v>
      </c>
      <c r="BQ6" s="6">
        <v>3</v>
      </c>
      <c r="BR6" s="11"/>
      <c r="BS6" s="12" t="s">
        <v>19</v>
      </c>
      <c r="BT6" s="12" t="s">
        <v>19</v>
      </c>
      <c r="BU6" s="12" t="s">
        <v>136</v>
      </c>
      <c r="BV6" s="19" t="s">
        <v>153</v>
      </c>
      <c r="BW6" s="77" t="s">
        <v>179</v>
      </c>
      <c r="BX6" s="93">
        <v>165000</v>
      </c>
      <c r="BY6">
        <f t="shared" ref="BY6:BY7" si="0">85000+54000</f>
        <v>139000</v>
      </c>
      <c r="BZ6">
        <v>85000</v>
      </c>
      <c r="CA6">
        <v>54000</v>
      </c>
    </row>
    <row r="7" spans="2:79" ht="16.5" thickBot="1" x14ac:dyDescent="0.3">
      <c r="B7" s="220"/>
      <c r="C7" s="29" t="e">
        <f>+#REF!</f>
        <v>#REF!</v>
      </c>
      <c r="D7" s="27">
        <v>95000</v>
      </c>
      <c r="E7" s="2"/>
      <c r="F7" s="35"/>
      <c r="J7" s="6">
        <v>5</v>
      </c>
      <c r="K7" s="16">
        <v>6</v>
      </c>
      <c r="L7" s="16" t="s">
        <v>40</v>
      </c>
      <c r="M7" s="16" t="s">
        <v>42</v>
      </c>
      <c r="N7" s="46" t="s">
        <v>44</v>
      </c>
      <c r="Q7" s="149">
        <v>52</v>
      </c>
      <c r="R7" s="142">
        <v>8</v>
      </c>
      <c r="S7" s="142" t="s">
        <v>40</v>
      </c>
      <c r="T7" s="142" t="s">
        <v>151</v>
      </c>
      <c r="U7" s="76" t="s">
        <v>171</v>
      </c>
      <c r="V7" s="146">
        <v>85000</v>
      </c>
      <c r="W7" s="93" t="s">
        <v>230</v>
      </c>
      <c r="X7" s="60"/>
      <c r="Y7" s="60"/>
      <c r="Z7" s="149">
        <v>14</v>
      </c>
      <c r="AA7" s="142">
        <v>8</v>
      </c>
      <c r="AB7" s="142" t="s">
        <v>40</v>
      </c>
      <c r="AC7" s="142" t="s">
        <v>125</v>
      </c>
      <c r="AD7" s="76" t="s">
        <v>110</v>
      </c>
      <c r="AE7" s="146">
        <v>100000</v>
      </c>
      <c r="AF7" s="93" t="s">
        <v>225</v>
      </c>
      <c r="AG7" s="60"/>
      <c r="AH7" s="60"/>
      <c r="AI7" s="149">
        <v>40</v>
      </c>
      <c r="AJ7" s="142">
        <v>12</v>
      </c>
      <c r="AK7" s="142" t="s">
        <v>40</v>
      </c>
      <c r="AL7" s="142" t="s">
        <v>209</v>
      </c>
      <c r="AM7" s="76" t="s">
        <v>171</v>
      </c>
      <c r="AN7" s="146">
        <v>120000</v>
      </c>
      <c r="AO7" s="20" t="s">
        <v>243</v>
      </c>
      <c r="AP7" s="60"/>
      <c r="AQ7" s="60"/>
      <c r="AR7" s="149">
        <v>10</v>
      </c>
      <c r="AS7" s="142" t="s">
        <v>32</v>
      </c>
      <c r="AT7" s="142" t="s">
        <v>117</v>
      </c>
      <c r="AU7" s="142" t="s">
        <v>196</v>
      </c>
      <c r="AV7" s="76" t="s">
        <v>171</v>
      </c>
      <c r="AW7" s="146">
        <v>50000</v>
      </c>
      <c r="AX7" s="72" t="s">
        <v>236</v>
      </c>
      <c r="AY7" s="60"/>
      <c r="AZ7" s="60"/>
      <c r="BA7" s="178">
        <v>18</v>
      </c>
      <c r="BB7" s="42" t="s">
        <v>19</v>
      </c>
      <c r="BC7" s="42" t="s">
        <v>115</v>
      </c>
      <c r="BD7" s="42" t="s">
        <v>310</v>
      </c>
      <c r="BE7" s="169" t="s">
        <v>171</v>
      </c>
      <c r="BF7" s="25">
        <v>80000</v>
      </c>
      <c r="BG7" s="20" t="s">
        <v>311</v>
      </c>
      <c r="BH7" s="60"/>
      <c r="BI7" s="142">
        <v>14</v>
      </c>
      <c r="BJ7" s="142" t="s">
        <v>129</v>
      </c>
      <c r="BK7" s="142" t="s">
        <v>40</v>
      </c>
      <c r="BL7" s="142" t="s">
        <v>130</v>
      </c>
      <c r="BM7" s="77" t="s">
        <v>110</v>
      </c>
      <c r="BN7" s="146">
        <v>27000</v>
      </c>
      <c r="BQ7" s="6">
        <v>18</v>
      </c>
      <c r="BR7" s="11"/>
      <c r="BS7" s="12" t="s">
        <v>26</v>
      </c>
      <c r="BT7" s="12" t="s">
        <v>26</v>
      </c>
      <c r="BU7" s="12" t="s">
        <v>137</v>
      </c>
      <c r="BV7" s="19" t="s">
        <v>153</v>
      </c>
      <c r="BW7" s="77" t="s">
        <v>179</v>
      </c>
      <c r="BX7" s="93">
        <v>165000</v>
      </c>
      <c r="BY7">
        <f t="shared" si="0"/>
        <v>139000</v>
      </c>
      <c r="BZ7">
        <v>85000</v>
      </c>
      <c r="CA7">
        <v>54000</v>
      </c>
    </row>
    <row r="8" spans="2:79" ht="16.5" thickBot="1" x14ac:dyDescent="0.3">
      <c r="B8" s="220"/>
      <c r="C8" s="29" t="e">
        <f>+#REF!</f>
        <v>#REF!</v>
      </c>
      <c r="D8" s="27">
        <v>95000</v>
      </c>
      <c r="E8" s="2"/>
      <c r="F8" s="35"/>
      <c r="J8" s="6">
        <v>6</v>
      </c>
      <c r="K8" s="16">
        <v>6</v>
      </c>
      <c r="L8" s="16" t="s">
        <v>40</v>
      </c>
      <c r="M8" s="16" t="s">
        <v>42</v>
      </c>
      <c r="N8" s="46" t="s">
        <v>44</v>
      </c>
      <c r="Q8" s="149">
        <v>53</v>
      </c>
      <c r="R8" s="142">
        <v>10</v>
      </c>
      <c r="S8" s="142" t="s">
        <v>40</v>
      </c>
      <c r="T8" s="142" t="s">
        <v>151</v>
      </c>
      <c r="U8" s="76" t="s">
        <v>175</v>
      </c>
      <c r="V8" s="146">
        <v>85000</v>
      </c>
      <c r="W8" s="93" t="s">
        <v>231</v>
      </c>
      <c r="X8" s="60"/>
      <c r="Y8" s="60"/>
      <c r="Z8" s="149">
        <v>24</v>
      </c>
      <c r="AA8" s="142">
        <v>6</v>
      </c>
      <c r="AB8" s="142" t="s">
        <v>40</v>
      </c>
      <c r="AC8" s="142" t="s">
        <v>197</v>
      </c>
      <c r="AD8" s="76" t="s">
        <v>110</v>
      </c>
      <c r="AE8" s="146">
        <v>100000</v>
      </c>
      <c r="AF8" s="166" t="s">
        <v>237</v>
      </c>
      <c r="AG8" s="60"/>
      <c r="AH8" s="60"/>
      <c r="AI8" s="170">
        <v>7</v>
      </c>
      <c r="AJ8" s="171">
        <v>12</v>
      </c>
      <c r="AK8" s="171" t="s">
        <v>291</v>
      </c>
      <c r="AL8" s="171" t="s">
        <v>292</v>
      </c>
      <c r="AM8" s="76" t="s">
        <v>171</v>
      </c>
      <c r="AN8" s="146">
        <v>120000</v>
      </c>
      <c r="AO8" s="20" t="s">
        <v>293</v>
      </c>
      <c r="AP8" s="60"/>
      <c r="AQ8" s="60"/>
      <c r="AR8" s="149">
        <v>7</v>
      </c>
      <c r="AS8" s="142" t="s">
        <v>19</v>
      </c>
      <c r="AT8" s="142" t="s">
        <v>117</v>
      </c>
      <c r="AU8" s="142" t="s">
        <v>199</v>
      </c>
      <c r="AV8" s="76" t="s">
        <v>171</v>
      </c>
      <c r="AW8" s="162">
        <v>120000</v>
      </c>
      <c r="AX8" s="72" t="s">
        <v>198</v>
      </c>
      <c r="AY8" s="60"/>
      <c r="AZ8" s="60"/>
      <c r="BA8" s="6"/>
      <c r="BB8" s="12"/>
      <c r="BC8" s="12"/>
      <c r="BD8" s="12"/>
      <c r="BE8" s="74"/>
      <c r="BF8" s="2"/>
      <c r="BG8" s="20"/>
      <c r="BH8" s="60"/>
      <c r="BI8" s="142"/>
      <c r="BJ8" s="142" t="s">
        <v>19</v>
      </c>
      <c r="BK8" s="142" t="s">
        <v>117</v>
      </c>
      <c r="BL8" s="142" t="s">
        <v>127</v>
      </c>
      <c r="BM8" s="77" t="s">
        <v>110</v>
      </c>
      <c r="BN8" s="146"/>
      <c r="BQ8" s="94">
        <v>6</v>
      </c>
      <c r="BR8" s="112" t="s">
        <v>188</v>
      </c>
      <c r="BS8" s="85" t="s">
        <v>19</v>
      </c>
      <c r="BT8" s="124" t="s">
        <v>40</v>
      </c>
      <c r="BU8" s="85" t="s">
        <v>107</v>
      </c>
      <c r="BV8" s="86" t="s">
        <v>153</v>
      </c>
      <c r="BW8" s="78" t="s">
        <v>179</v>
      </c>
      <c r="BX8" s="92">
        <v>95000</v>
      </c>
      <c r="BY8">
        <v>85000</v>
      </c>
      <c r="BZ8">
        <v>85000</v>
      </c>
    </row>
    <row r="9" spans="2:79" ht="16.5" thickBot="1" x14ac:dyDescent="0.3">
      <c r="B9" s="220"/>
      <c r="C9" s="29" t="s">
        <v>37</v>
      </c>
      <c r="D9" s="27">
        <v>95000</v>
      </c>
      <c r="E9" s="2"/>
      <c r="F9" s="35"/>
      <c r="J9" s="6">
        <v>7</v>
      </c>
      <c r="K9" s="16">
        <v>8</v>
      </c>
      <c r="L9" s="16" t="s">
        <v>40</v>
      </c>
      <c r="M9" s="16" t="s">
        <v>42</v>
      </c>
      <c r="N9" s="46" t="s">
        <v>44</v>
      </c>
      <c r="Q9" s="149">
        <v>54</v>
      </c>
      <c r="R9" s="142">
        <v>12</v>
      </c>
      <c r="S9" s="142" t="s">
        <v>40</v>
      </c>
      <c r="T9" s="142" t="s">
        <v>151</v>
      </c>
      <c r="U9" s="76" t="s">
        <v>171</v>
      </c>
      <c r="V9" s="146">
        <v>85000</v>
      </c>
      <c r="W9" s="93" t="s">
        <v>232</v>
      </c>
      <c r="X9" s="60"/>
      <c r="Y9" s="60"/>
      <c r="Z9" s="149">
        <v>36</v>
      </c>
      <c r="AA9" s="142">
        <v>8</v>
      </c>
      <c r="AB9" s="142" t="s">
        <v>40</v>
      </c>
      <c r="AC9" s="142" t="s">
        <v>173</v>
      </c>
      <c r="AD9" s="76" t="s">
        <v>110</v>
      </c>
      <c r="AE9" s="146">
        <v>100000</v>
      </c>
      <c r="AF9" s="166" t="s">
        <v>228</v>
      </c>
      <c r="AG9" s="60"/>
      <c r="AH9" s="60"/>
      <c r="AI9" s="170">
        <v>16</v>
      </c>
      <c r="AJ9" s="177">
        <v>10</v>
      </c>
      <c r="AK9" s="171" t="s">
        <v>40</v>
      </c>
      <c r="AL9" s="171" t="s">
        <v>308</v>
      </c>
      <c r="AM9" s="76" t="s">
        <v>171</v>
      </c>
      <c r="AN9" s="146">
        <v>120000</v>
      </c>
      <c r="AO9" s="20" t="s">
        <v>296</v>
      </c>
      <c r="AP9" s="60"/>
      <c r="AQ9" s="60"/>
      <c r="AR9" s="149">
        <v>25</v>
      </c>
      <c r="AS9" s="142" t="s">
        <v>19</v>
      </c>
      <c r="AT9" s="142" t="s">
        <v>153</v>
      </c>
      <c r="AU9" s="142" t="s">
        <v>255</v>
      </c>
      <c r="AV9" s="76" t="s">
        <v>171</v>
      </c>
      <c r="AW9" s="162">
        <v>120000</v>
      </c>
      <c r="AX9" s="20" t="s">
        <v>234</v>
      </c>
      <c r="AY9" s="60"/>
      <c r="AZ9" s="60"/>
      <c r="BA9" s="6"/>
      <c r="BB9" s="12"/>
      <c r="BC9" s="12"/>
      <c r="BD9" s="12"/>
      <c r="BE9" s="74"/>
      <c r="BF9" s="2"/>
      <c r="BG9" s="20"/>
      <c r="BH9" s="60"/>
      <c r="BI9" s="142"/>
      <c r="BJ9" s="142" t="s">
        <v>128</v>
      </c>
      <c r="BK9" s="142" t="s">
        <v>117</v>
      </c>
      <c r="BL9" s="142" t="s">
        <v>127</v>
      </c>
      <c r="BM9" s="77" t="s">
        <v>110</v>
      </c>
      <c r="BN9" s="146"/>
      <c r="BQ9" s="6">
        <v>15</v>
      </c>
      <c r="BR9" s="11"/>
      <c r="BS9" s="12" t="s">
        <v>26</v>
      </c>
      <c r="BT9" s="79" t="s">
        <v>40</v>
      </c>
      <c r="BU9" s="12" t="s">
        <v>106</v>
      </c>
      <c r="BV9" s="19" t="s">
        <v>153</v>
      </c>
      <c r="BW9" s="77" t="s">
        <v>179</v>
      </c>
      <c r="BX9" s="92">
        <v>95000</v>
      </c>
      <c r="BY9">
        <v>85000</v>
      </c>
      <c r="BZ9">
        <v>85000</v>
      </c>
    </row>
    <row r="10" spans="2:79" ht="16.5" thickBot="1" x14ac:dyDescent="0.3">
      <c r="B10" s="220"/>
      <c r="C10" s="29" t="s">
        <v>38</v>
      </c>
      <c r="D10" s="27">
        <v>95000</v>
      </c>
      <c r="E10" s="2"/>
      <c r="F10" s="35"/>
      <c r="J10" s="6">
        <v>8</v>
      </c>
      <c r="K10" s="16">
        <v>8</v>
      </c>
      <c r="L10" s="16" t="s">
        <v>40</v>
      </c>
      <c r="M10" s="16" t="s">
        <v>42</v>
      </c>
      <c r="N10" s="46" t="s">
        <v>44</v>
      </c>
      <c r="Q10" s="149">
        <v>55</v>
      </c>
      <c r="R10" s="142" t="s">
        <v>19</v>
      </c>
      <c r="S10" s="142" t="s">
        <v>115</v>
      </c>
      <c r="T10" s="142" t="s">
        <v>151</v>
      </c>
      <c r="U10" s="76" t="s">
        <v>171</v>
      </c>
      <c r="V10" s="146">
        <v>85400</v>
      </c>
      <c r="W10" s="93" t="s">
        <v>233</v>
      </c>
      <c r="X10" s="60"/>
      <c r="Y10" s="60"/>
      <c r="Z10" s="149">
        <v>20</v>
      </c>
      <c r="AA10" s="142">
        <v>12</v>
      </c>
      <c r="AB10" s="142" t="s">
        <v>40</v>
      </c>
      <c r="AC10" s="142" t="s">
        <v>206</v>
      </c>
      <c r="AD10" s="76" t="s">
        <v>110</v>
      </c>
      <c r="AE10" s="146">
        <v>120000</v>
      </c>
      <c r="AF10" s="93" t="s">
        <v>240</v>
      </c>
      <c r="AG10" s="60"/>
      <c r="AH10" s="60"/>
      <c r="AI10" s="149">
        <v>76</v>
      </c>
      <c r="AJ10" s="142">
        <v>12</v>
      </c>
      <c r="AK10" s="142" t="s">
        <v>40</v>
      </c>
      <c r="AL10" s="142" t="s">
        <v>312</v>
      </c>
      <c r="AM10" s="76" t="s">
        <v>171</v>
      </c>
      <c r="AN10" s="146">
        <v>120000</v>
      </c>
      <c r="AO10" s="20" t="s">
        <v>314</v>
      </c>
      <c r="AP10" s="60"/>
      <c r="AQ10" s="60"/>
      <c r="AR10" s="149">
        <v>21</v>
      </c>
      <c r="AS10" s="142" t="s">
        <v>18</v>
      </c>
      <c r="AT10" s="142" t="s">
        <v>153</v>
      </c>
      <c r="AU10" s="142" t="s">
        <v>259</v>
      </c>
      <c r="AV10" s="76" t="s">
        <v>110</v>
      </c>
      <c r="AW10" s="162">
        <v>120000</v>
      </c>
      <c r="AX10" s="20" t="s">
        <v>268</v>
      </c>
      <c r="AY10" s="60"/>
      <c r="AZ10" s="60"/>
      <c r="BA10" s="6"/>
      <c r="BB10" s="12"/>
      <c r="BC10" s="12"/>
      <c r="BD10" s="12"/>
      <c r="BE10" s="74"/>
      <c r="BF10" s="2"/>
      <c r="BG10" s="20"/>
      <c r="BH10" s="60"/>
      <c r="BI10" s="142"/>
      <c r="BJ10" s="142"/>
      <c r="BK10" s="142"/>
      <c r="BL10" s="142"/>
      <c r="BM10" s="77" t="s">
        <v>110</v>
      </c>
      <c r="BN10" s="146"/>
      <c r="BQ10" s="6">
        <v>14</v>
      </c>
      <c r="BR10" s="11"/>
      <c r="BS10" s="12" t="s">
        <v>138</v>
      </c>
      <c r="BT10" s="12" t="s">
        <v>138</v>
      </c>
      <c r="BU10" s="12" t="s">
        <v>139</v>
      </c>
      <c r="BV10" s="19" t="s">
        <v>153</v>
      </c>
      <c r="BW10" s="77" t="s">
        <v>179</v>
      </c>
      <c r="BX10" s="93">
        <v>165000</v>
      </c>
      <c r="BY10">
        <f t="shared" ref="BY10:BY11" si="1">85000+54000</f>
        <v>139000</v>
      </c>
      <c r="BZ10">
        <v>85000</v>
      </c>
      <c r="CA10">
        <v>54000</v>
      </c>
    </row>
    <row r="11" spans="2:79" ht="15.75" x14ac:dyDescent="0.25">
      <c r="B11" s="220"/>
      <c r="C11" s="29" t="s">
        <v>34</v>
      </c>
      <c r="D11" s="27">
        <v>95000</v>
      </c>
      <c r="E11" s="2"/>
      <c r="F11" s="35"/>
      <c r="J11" s="6">
        <v>9</v>
      </c>
      <c r="K11" s="16">
        <v>12</v>
      </c>
      <c r="L11" s="16" t="s">
        <v>40</v>
      </c>
      <c r="M11" s="16" t="s">
        <v>42</v>
      </c>
      <c r="N11" s="46" t="s">
        <v>44</v>
      </c>
      <c r="Q11" s="149">
        <v>56</v>
      </c>
      <c r="R11" s="142" t="s">
        <v>19</v>
      </c>
      <c r="S11" s="142" t="s">
        <v>117</v>
      </c>
      <c r="T11" s="142" t="s">
        <v>151</v>
      </c>
      <c r="U11" s="76" t="s">
        <v>171</v>
      </c>
      <c r="V11" s="146">
        <v>85400</v>
      </c>
      <c r="W11" s="93" t="s">
        <v>234</v>
      </c>
      <c r="X11" s="60"/>
      <c r="Y11" s="60"/>
      <c r="Z11" s="170">
        <v>67</v>
      </c>
      <c r="AA11" s="171">
        <v>8</v>
      </c>
      <c r="AB11" s="171" t="s">
        <v>40</v>
      </c>
      <c r="AC11" s="171" t="s">
        <v>266</v>
      </c>
      <c r="AD11" s="76" t="s">
        <v>169</v>
      </c>
      <c r="AE11" s="146">
        <v>120000</v>
      </c>
      <c r="AF11" s="166" t="s">
        <v>267</v>
      </c>
      <c r="AG11" s="60"/>
      <c r="AH11" s="60"/>
      <c r="AI11" s="149">
        <v>17</v>
      </c>
      <c r="AJ11" s="142">
        <v>12</v>
      </c>
      <c r="AK11" s="142" t="s">
        <v>40</v>
      </c>
      <c r="AL11" s="142" t="s">
        <v>313</v>
      </c>
      <c r="AM11" s="76" t="s">
        <v>171</v>
      </c>
      <c r="AN11" s="146">
        <v>120000</v>
      </c>
      <c r="AO11" s="20" t="s">
        <v>315</v>
      </c>
      <c r="AP11" s="60"/>
      <c r="AQ11" s="60"/>
      <c r="AR11" s="6"/>
      <c r="AS11" s="12"/>
      <c r="AT11" s="12"/>
      <c r="AU11" s="12"/>
      <c r="AV11" s="74"/>
      <c r="AW11" s="2"/>
      <c r="AX11" s="20"/>
      <c r="AY11" s="60"/>
      <c r="AZ11" s="60"/>
      <c r="BA11" s="6"/>
      <c r="BB11" s="12"/>
      <c r="BC11" s="12"/>
      <c r="BD11" s="12"/>
      <c r="BE11" s="74"/>
      <c r="BF11" s="2"/>
      <c r="BG11" s="20"/>
      <c r="BH11" s="60"/>
      <c r="BI11" s="142"/>
      <c r="BJ11" s="142" t="s">
        <v>19</v>
      </c>
      <c r="BK11" s="142" t="s">
        <v>117</v>
      </c>
      <c r="BL11" s="142" t="s">
        <v>127</v>
      </c>
      <c r="BM11" s="77" t="s">
        <v>110</v>
      </c>
      <c r="BN11" s="146">
        <v>0</v>
      </c>
      <c r="BQ11" s="6">
        <v>20</v>
      </c>
      <c r="BR11" s="11"/>
      <c r="BS11" s="12" t="s">
        <v>32</v>
      </c>
      <c r="BT11" s="12" t="s">
        <v>32</v>
      </c>
      <c r="BU11" s="12" t="s">
        <v>140</v>
      </c>
      <c r="BV11" s="19" t="s">
        <v>153</v>
      </c>
      <c r="BW11" s="77" t="s">
        <v>179</v>
      </c>
      <c r="BX11" s="93">
        <v>165000</v>
      </c>
      <c r="BY11">
        <f t="shared" si="1"/>
        <v>139000</v>
      </c>
      <c r="BZ11">
        <v>85000</v>
      </c>
      <c r="CA11">
        <v>54000</v>
      </c>
    </row>
    <row r="12" spans="2:79" ht="15.75" x14ac:dyDescent="0.25">
      <c r="B12" s="220"/>
      <c r="C12" s="29" t="s">
        <v>52</v>
      </c>
      <c r="D12" s="27">
        <v>95000</v>
      </c>
      <c r="E12" s="2"/>
      <c r="F12" s="35"/>
      <c r="J12" s="6">
        <v>10</v>
      </c>
      <c r="K12" s="16">
        <v>12</v>
      </c>
      <c r="L12" s="16" t="s">
        <v>40</v>
      </c>
      <c r="M12" s="16" t="s">
        <v>43</v>
      </c>
      <c r="N12" s="46" t="s">
        <v>44</v>
      </c>
      <c r="O12" s="159"/>
      <c r="P12" s="159"/>
      <c r="Q12" s="149">
        <v>57</v>
      </c>
      <c r="R12" s="142" t="s">
        <v>19</v>
      </c>
      <c r="S12" s="142" t="s">
        <v>115</v>
      </c>
      <c r="T12" s="142" t="s">
        <v>151</v>
      </c>
      <c r="U12" s="76" t="s">
        <v>171</v>
      </c>
      <c r="V12" s="146">
        <v>55000</v>
      </c>
      <c r="W12" s="93" t="s">
        <v>235</v>
      </c>
      <c r="X12" s="60"/>
      <c r="Y12" s="60"/>
      <c r="Z12" s="149">
        <v>30</v>
      </c>
      <c r="AA12" s="142">
        <v>12</v>
      </c>
      <c r="AB12" s="142" t="s">
        <v>40</v>
      </c>
      <c r="AC12" s="142" t="s">
        <v>272</v>
      </c>
      <c r="AD12" s="76" t="s">
        <v>110</v>
      </c>
      <c r="AE12" s="146">
        <v>120000</v>
      </c>
      <c r="AF12" s="93" t="s">
        <v>272</v>
      </c>
      <c r="AG12" s="60"/>
      <c r="AH12" s="60"/>
      <c r="AI12" s="6"/>
      <c r="AJ12" s="12"/>
      <c r="AK12" s="12"/>
      <c r="AL12" s="12"/>
      <c r="AM12" s="74"/>
      <c r="AN12" s="2"/>
      <c r="AO12" s="20"/>
      <c r="AP12" s="60"/>
      <c r="AQ12" s="60"/>
      <c r="AR12" s="6"/>
      <c r="AS12" s="12"/>
      <c r="AT12" s="12"/>
      <c r="AU12" s="12"/>
      <c r="AV12" s="74"/>
      <c r="AW12" s="2"/>
      <c r="AX12" s="20"/>
      <c r="AY12" s="60"/>
      <c r="AZ12" s="60"/>
      <c r="BA12" s="6"/>
      <c r="BB12" s="12"/>
      <c r="BC12" s="12"/>
      <c r="BD12" s="12"/>
      <c r="BE12" s="74"/>
      <c r="BF12" s="2"/>
      <c r="BG12" s="20"/>
      <c r="BH12" s="60"/>
      <c r="BI12" s="142"/>
      <c r="BJ12" s="142" t="s">
        <v>128</v>
      </c>
      <c r="BK12" s="142" t="s">
        <v>117</v>
      </c>
      <c r="BL12" s="142" t="s">
        <v>127</v>
      </c>
      <c r="BM12" s="77" t="s">
        <v>110</v>
      </c>
      <c r="BN12" s="146">
        <v>0</v>
      </c>
      <c r="BQ12" s="6">
        <v>7</v>
      </c>
      <c r="BR12" s="11"/>
      <c r="BS12" s="12" t="s">
        <v>19</v>
      </c>
      <c r="BT12" s="79" t="s">
        <v>40</v>
      </c>
      <c r="BU12" s="12" t="s">
        <v>141</v>
      </c>
      <c r="BV12" s="19" t="s">
        <v>153</v>
      </c>
      <c r="BW12" s="77" t="s">
        <v>179</v>
      </c>
      <c r="BX12" s="92">
        <v>95000</v>
      </c>
      <c r="BY12">
        <v>85000</v>
      </c>
      <c r="BZ12">
        <v>85000</v>
      </c>
    </row>
    <row r="13" spans="2:79" ht="45" x14ac:dyDescent="0.25">
      <c r="B13" s="220"/>
      <c r="C13" s="29" t="s">
        <v>48</v>
      </c>
      <c r="D13" s="27">
        <v>95000</v>
      </c>
      <c r="E13" s="2"/>
      <c r="F13" s="35"/>
      <c r="J13" s="6">
        <v>11</v>
      </c>
      <c r="K13" s="16">
        <v>16</v>
      </c>
      <c r="L13" s="16" t="s">
        <v>40</v>
      </c>
      <c r="M13" s="16" t="s">
        <v>42</v>
      </c>
      <c r="N13" s="46" t="s">
        <v>44</v>
      </c>
      <c r="Q13" s="149">
        <v>58</v>
      </c>
      <c r="R13" s="142" t="s">
        <v>19</v>
      </c>
      <c r="S13" s="142" t="s">
        <v>117</v>
      </c>
      <c r="T13" s="142" t="s">
        <v>151</v>
      </c>
      <c r="U13" s="76" t="s">
        <v>171</v>
      </c>
      <c r="V13" s="165">
        <v>95000</v>
      </c>
      <c r="W13" s="93" t="s">
        <v>238</v>
      </c>
      <c r="X13" s="60"/>
      <c r="Y13" s="60"/>
      <c r="Z13" s="149">
        <v>18</v>
      </c>
      <c r="AA13" s="142">
        <v>6</v>
      </c>
      <c r="AB13" s="142" t="s">
        <v>289</v>
      </c>
      <c r="AC13" s="142" t="s">
        <v>290</v>
      </c>
      <c r="AD13" s="76" t="s">
        <v>110</v>
      </c>
      <c r="AE13" s="146">
        <v>120000</v>
      </c>
      <c r="AF13" s="142" t="s">
        <v>290</v>
      </c>
      <c r="AG13" s="60"/>
      <c r="AH13" s="60"/>
      <c r="AI13" s="6"/>
      <c r="AJ13" s="12"/>
      <c r="AK13" s="12"/>
      <c r="AL13" s="12"/>
      <c r="AM13" s="74"/>
      <c r="AN13" s="2"/>
      <c r="AO13" s="20"/>
      <c r="AP13" s="60"/>
      <c r="AQ13" s="60"/>
      <c r="AR13" s="6"/>
      <c r="AS13" s="12"/>
      <c r="AT13" s="12"/>
      <c r="AU13" s="12"/>
      <c r="AV13" s="74"/>
      <c r="AW13" s="2"/>
      <c r="AX13" s="20"/>
      <c r="AY13" s="60"/>
      <c r="AZ13" s="60"/>
      <c r="BA13" s="6"/>
      <c r="BB13" s="12"/>
      <c r="BC13" s="12"/>
      <c r="BD13" s="12"/>
      <c r="BE13" s="74"/>
      <c r="BF13" s="2"/>
      <c r="BG13" s="20"/>
      <c r="BH13" s="60"/>
      <c r="BI13" s="142"/>
      <c r="BJ13" s="142" t="s">
        <v>18</v>
      </c>
      <c r="BK13" s="142" t="s">
        <v>115</v>
      </c>
      <c r="BL13" s="142" t="s">
        <v>195</v>
      </c>
      <c r="BM13" s="77" t="s">
        <v>110</v>
      </c>
      <c r="BN13" s="146">
        <v>0</v>
      </c>
      <c r="BQ13" s="6">
        <v>11</v>
      </c>
      <c r="BR13" s="11"/>
      <c r="BS13" s="73" t="s">
        <v>32</v>
      </c>
      <c r="BT13" s="12" t="s">
        <v>26</v>
      </c>
      <c r="BU13" s="13" t="s">
        <v>143</v>
      </c>
      <c r="BV13" s="19" t="s">
        <v>153</v>
      </c>
      <c r="BW13" s="77" t="s">
        <v>179</v>
      </c>
      <c r="BX13" s="93">
        <v>165000</v>
      </c>
      <c r="BY13">
        <f t="shared" ref="BY13:BY18" si="2">85000+54000</f>
        <v>139000</v>
      </c>
      <c r="BZ13">
        <v>85000</v>
      </c>
      <c r="CA13">
        <v>54000</v>
      </c>
    </row>
    <row r="14" spans="2:79" ht="16.5" thickBot="1" x14ac:dyDescent="0.3">
      <c r="B14" s="220"/>
      <c r="C14" s="29" t="s">
        <v>49</v>
      </c>
      <c r="D14" s="27">
        <v>95000</v>
      </c>
      <c r="E14" s="2"/>
      <c r="F14" s="35"/>
      <c r="J14" s="23">
        <v>12</v>
      </c>
      <c r="K14" s="48">
        <v>16</v>
      </c>
      <c r="L14" s="48" t="s">
        <v>40</v>
      </c>
      <c r="M14" s="48" t="s">
        <v>42</v>
      </c>
      <c r="N14" s="49" t="s">
        <v>44</v>
      </c>
      <c r="Q14" s="149">
        <v>59</v>
      </c>
      <c r="R14" s="142">
        <v>10</v>
      </c>
      <c r="S14" s="142" t="s">
        <v>40</v>
      </c>
      <c r="T14" s="163" t="s">
        <v>151</v>
      </c>
      <c r="U14" s="164"/>
      <c r="V14" s="165">
        <v>95000</v>
      </c>
      <c r="W14" s="93" t="s">
        <v>282</v>
      </c>
      <c r="X14" s="60"/>
      <c r="Y14" s="60"/>
      <c r="Z14" s="6"/>
      <c r="AA14" s="12"/>
      <c r="AB14" s="12"/>
      <c r="AC14" s="12"/>
      <c r="AD14" s="74"/>
      <c r="AE14" s="2"/>
      <c r="AF14" s="20"/>
      <c r="AG14" s="60"/>
      <c r="AH14" s="60"/>
      <c r="AI14" s="6"/>
      <c r="AJ14" s="12"/>
      <c r="AK14" s="12"/>
      <c r="AL14" s="12"/>
      <c r="AM14" s="74"/>
      <c r="AN14" s="2"/>
      <c r="AO14" s="20"/>
      <c r="AP14" s="60"/>
      <c r="AQ14" s="60"/>
      <c r="AR14" s="6"/>
      <c r="AS14" s="12"/>
      <c r="AT14" s="12"/>
      <c r="AU14" s="12"/>
      <c r="AV14" s="74"/>
      <c r="AW14" s="2"/>
      <c r="AX14" s="20"/>
      <c r="AY14" s="60"/>
      <c r="AZ14" s="60"/>
      <c r="BA14" s="6"/>
      <c r="BB14" s="12"/>
      <c r="BC14" s="12"/>
      <c r="BD14" s="12"/>
      <c r="BE14" s="74"/>
      <c r="BF14" s="2"/>
      <c r="BG14" s="20"/>
      <c r="BH14" s="60"/>
      <c r="BI14" s="142"/>
      <c r="BJ14" s="142" t="s">
        <v>19</v>
      </c>
      <c r="BK14" s="142" t="s">
        <v>115</v>
      </c>
      <c r="BL14" s="142" t="s">
        <v>213</v>
      </c>
      <c r="BM14" s="77" t="s">
        <v>110</v>
      </c>
      <c r="BN14" s="146">
        <v>0</v>
      </c>
      <c r="BQ14" s="6">
        <v>5</v>
      </c>
      <c r="BR14" s="11"/>
      <c r="BS14" s="73" t="s">
        <v>32</v>
      </c>
      <c r="BT14" s="12" t="s">
        <v>32</v>
      </c>
      <c r="BU14" s="12" t="s">
        <v>142</v>
      </c>
      <c r="BV14" s="19" t="s">
        <v>153</v>
      </c>
      <c r="BW14" s="77" t="s">
        <v>179</v>
      </c>
      <c r="BX14" s="93">
        <v>165000</v>
      </c>
      <c r="BY14">
        <f t="shared" si="2"/>
        <v>139000</v>
      </c>
      <c r="BZ14">
        <v>85000</v>
      </c>
      <c r="CA14">
        <v>54000</v>
      </c>
    </row>
    <row r="15" spans="2:79" ht="15.75" x14ac:dyDescent="0.25">
      <c r="B15" s="220"/>
      <c r="C15" s="29" t="s">
        <v>68</v>
      </c>
      <c r="D15" s="27">
        <v>95000</v>
      </c>
      <c r="E15" s="2"/>
      <c r="F15" s="35"/>
      <c r="J15" s="5">
        <v>13</v>
      </c>
      <c r="K15" s="51" t="s">
        <v>18</v>
      </c>
      <c r="L15" s="41" t="s">
        <v>19</v>
      </c>
      <c r="M15" s="41" t="s">
        <v>42</v>
      </c>
      <c r="N15" s="10" t="s">
        <v>44</v>
      </c>
      <c r="Q15" s="149">
        <v>60</v>
      </c>
      <c r="R15" s="142">
        <v>14</v>
      </c>
      <c r="S15" s="142" t="s">
        <v>40</v>
      </c>
      <c r="T15" s="142" t="s">
        <v>151</v>
      </c>
      <c r="U15" s="76" t="s">
        <v>171</v>
      </c>
      <c r="V15" s="146">
        <v>95000</v>
      </c>
      <c r="W15" s="93" t="s">
        <v>239</v>
      </c>
      <c r="X15" s="134"/>
      <c r="Y15" s="134"/>
      <c r="Z15" s="6"/>
      <c r="AA15" s="12"/>
      <c r="AB15" s="12"/>
      <c r="AC15" s="12"/>
      <c r="AD15" s="74"/>
      <c r="AE15" s="2"/>
      <c r="AF15" s="20"/>
      <c r="AG15" s="134"/>
      <c r="AH15" s="134"/>
      <c r="AI15" s="6"/>
      <c r="AJ15" s="12"/>
      <c r="AK15" s="12"/>
      <c r="AL15" s="12"/>
      <c r="AM15" s="74"/>
      <c r="AN15" s="2"/>
      <c r="AO15" s="20"/>
      <c r="AP15" s="134"/>
      <c r="AQ15" s="134"/>
      <c r="AR15" s="6"/>
      <c r="AS15" s="12"/>
      <c r="AT15" s="12"/>
      <c r="AU15" s="12"/>
      <c r="AV15" s="74"/>
      <c r="AW15" s="2"/>
      <c r="AX15" s="20"/>
      <c r="AY15" s="60"/>
      <c r="AZ15" s="60"/>
      <c r="BA15" s="6"/>
      <c r="BB15" s="12"/>
      <c r="BC15" s="12"/>
      <c r="BD15" s="12"/>
      <c r="BE15" s="74"/>
      <c r="BF15" s="2"/>
      <c r="BG15" s="20"/>
      <c r="BH15" s="60"/>
      <c r="BI15" s="143">
        <v>36</v>
      </c>
      <c r="BJ15" s="143" t="s">
        <v>128</v>
      </c>
      <c r="BK15" s="143" t="s">
        <v>117</v>
      </c>
      <c r="BL15" s="142" t="s">
        <v>210</v>
      </c>
      <c r="BM15" s="77" t="s">
        <v>110</v>
      </c>
      <c r="BN15" s="144">
        <v>0</v>
      </c>
      <c r="BQ15" s="94">
        <v>50</v>
      </c>
      <c r="BR15" s="112" t="s">
        <v>182</v>
      </c>
      <c r="BS15" s="123" t="s">
        <v>32</v>
      </c>
      <c r="BT15" s="85" t="s">
        <v>26</v>
      </c>
      <c r="BU15" s="85" t="s">
        <v>144</v>
      </c>
      <c r="BV15" s="86" t="s">
        <v>153</v>
      </c>
      <c r="BW15" s="78" t="s">
        <v>179</v>
      </c>
      <c r="BX15" s="93">
        <v>165000</v>
      </c>
      <c r="BY15">
        <f>85000+54000</f>
        <v>139000</v>
      </c>
      <c r="BZ15">
        <v>85000</v>
      </c>
      <c r="CA15">
        <v>54000</v>
      </c>
    </row>
    <row r="16" spans="2:79" ht="15.75" x14ac:dyDescent="0.25">
      <c r="B16" s="220"/>
      <c r="C16" s="29" t="s">
        <v>66</v>
      </c>
      <c r="D16" s="27">
        <v>95000</v>
      </c>
      <c r="E16" s="2"/>
      <c r="F16" s="35"/>
      <c r="J16" s="6">
        <v>14</v>
      </c>
      <c r="K16" s="52" t="s">
        <v>18</v>
      </c>
      <c r="L16" s="16" t="s">
        <v>19</v>
      </c>
      <c r="M16" s="16" t="s">
        <v>42</v>
      </c>
      <c r="N16" s="46" t="s">
        <v>44</v>
      </c>
      <c r="Q16" s="149">
        <v>61</v>
      </c>
      <c r="R16" s="142" t="s">
        <v>19</v>
      </c>
      <c r="S16" s="142" t="s">
        <v>117</v>
      </c>
      <c r="T16" s="142" t="s">
        <v>151</v>
      </c>
      <c r="U16" s="76"/>
      <c r="V16" s="146">
        <v>95000</v>
      </c>
      <c r="W16" s="93" t="s">
        <v>302</v>
      </c>
      <c r="X16" s="60"/>
      <c r="Y16" s="60"/>
      <c r="Z16" s="6"/>
      <c r="AA16" s="12"/>
      <c r="AB16" s="12"/>
      <c r="AC16" s="12"/>
      <c r="AD16" s="74"/>
      <c r="AE16" s="2"/>
      <c r="AF16" s="20"/>
      <c r="AG16" s="60"/>
      <c r="AH16" s="60"/>
      <c r="AI16" s="6"/>
      <c r="AJ16" s="12"/>
      <c r="AK16" s="12"/>
      <c r="AL16" s="12"/>
      <c r="AM16" s="74"/>
      <c r="AN16" s="2"/>
      <c r="AO16" s="20"/>
      <c r="AP16" s="60"/>
      <c r="AQ16" s="60"/>
      <c r="AR16" s="6"/>
      <c r="AS16" s="12"/>
      <c r="AT16" s="12"/>
      <c r="AU16" s="12"/>
      <c r="AV16" s="74"/>
      <c r="AW16" s="2"/>
      <c r="AX16" s="20"/>
      <c r="AY16" s="60"/>
      <c r="AZ16" s="60"/>
      <c r="BA16" s="6"/>
      <c r="BB16" s="12"/>
      <c r="BC16" s="12"/>
      <c r="BD16" s="12"/>
      <c r="BE16" s="74"/>
      <c r="BF16" s="2"/>
      <c r="BG16" s="20"/>
      <c r="BH16" s="60"/>
      <c r="BI16" s="142">
        <v>36</v>
      </c>
      <c r="BJ16" s="142" t="s">
        <v>19</v>
      </c>
      <c r="BK16" s="143" t="s">
        <v>115</v>
      </c>
      <c r="BL16" s="143" t="s">
        <v>211</v>
      </c>
      <c r="BM16" s="77" t="s">
        <v>110</v>
      </c>
      <c r="BN16" s="144">
        <v>0</v>
      </c>
      <c r="BO16" s="17"/>
      <c r="BQ16" s="94">
        <v>13</v>
      </c>
      <c r="BR16" s="112" t="s">
        <v>184</v>
      </c>
      <c r="BS16" s="123" t="s">
        <v>32</v>
      </c>
      <c r="BT16" s="85" t="s">
        <v>32</v>
      </c>
      <c r="BU16" s="85" t="s">
        <v>145</v>
      </c>
      <c r="BV16" s="86" t="s">
        <v>153</v>
      </c>
      <c r="BW16" s="78" t="s">
        <v>179</v>
      </c>
      <c r="BX16" s="93">
        <v>165000</v>
      </c>
      <c r="BY16">
        <f t="shared" si="2"/>
        <v>139000</v>
      </c>
      <c r="BZ16">
        <v>85000</v>
      </c>
      <c r="CA16">
        <v>54000</v>
      </c>
    </row>
    <row r="17" spans="2:79" ht="15.75" x14ac:dyDescent="0.25">
      <c r="B17" s="220"/>
      <c r="C17" s="29" t="s">
        <v>71</v>
      </c>
      <c r="D17" s="27">
        <v>85000</v>
      </c>
      <c r="E17" s="2"/>
      <c r="F17" s="35"/>
      <c r="J17" s="6">
        <v>15</v>
      </c>
      <c r="K17" s="52" t="s">
        <v>18</v>
      </c>
      <c r="L17" s="16" t="s">
        <v>19</v>
      </c>
      <c r="M17" s="16" t="s">
        <v>42</v>
      </c>
      <c r="N17" s="46" t="s">
        <v>44</v>
      </c>
      <c r="Q17" s="149">
        <v>62</v>
      </c>
      <c r="R17" s="142">
        <v>12</v>
      </c>
      <c r="S17" s="142" t="s">
        <v>40</v>
      </c>
      <c r="T17" s="142" t="s">
        <v>151</v>
      </c>
      <c r="U17" s="76" t="s">
        <v>171</v>
      </c>
      <c r="V17" s="146">
        <v>85400</v>
      </c>
      <c r="W17" s="93" t="s">
        <v>243</v>
      </c>
      <c r="X17" s="60"/>
      <c r="Y17" s="60"/>
      <c r="Z17" s="6"/>
      <c r="AA17" s="12"/>
      <c r="AB17" s="12"/>
      <c r="AC17" s="12"/>
      <c r="AD17" s="74"/>
      <c r="AE17" s="2"/>
      <c r="AF17" s="20"/>
      <c r="AG17" s="60"/>
      <c r="AH17" s="60"/>
      <c r="AI17" s="6"/>
      <c r="AJ17" s="12"/>
      <c r="AK17" s="12"/>
      <c r="AL17" s="12"/>
      <c r="AM17" s="74"/>
      <c r="AN17" s="2"/>
      <c r="AO17" s="20"/>
      <c r="AP17" s="60"/>
      <c r="AQ17" s="60"/>
      <c r="AR17" s="6"/>
      <c r="AS17" s="12"/>
      <c r="AT17" s="12"/>
      <c r="AU17" s="12"/>
      <c r="AV17" s="74"/>
      <c r="AW17" s="2"/>
      <c r="AX17" s="20"/>
      <c r="AY17" s="60"/>
      <c r="AZ17" s="60"/>
      <c r="BA17" s="6"/>
      <c r="BB17" s="12"/>
      <c r="BC17" s="12"/>
      <c r="BD17" s="12"/>
      <c r="BE17" s="74"/>
      <c r="BF17" s="2"/>
      <c r="BG17" s="20"/>
      <c r="BH17" s="60"/>
      <c r="BI17" s="142"/>
      <c r="BJ17" s="143" t="s">
        <v>32</v>
      </c>
      <c r="BK17" s="143" t="s">
        <v>115</v>
      </c>
      <c r="BL17" s="143" t="s">
        <v>208</v>
      </c>
      <c r="BM17" s="77" t="s">
        <v>110</v>
      </c>
      <c r="BN17" s="144">
        <v>61500</v>
      </c>
      <c r="BQ17" s="94">
        <v>17</v>
      </c>
      <c r="BR17" s="112" t="s">
        <v>183</v>
      </c>
      <c r="BS17" s="123" t="s">
        <v>26</v>
      </c>
      <c r="BT17" s="85" t="s">
        <v>26</v>
      </c>
      <c r="BU17" s="85" t="s">
        <v>147</v>
      </c>
      <c r="BV17" s="86" t="s">
        <v>153</v>
      </c>
      <c r="BW17" s="78" t="s">
        <v>179</v>
      </c>
      <c r="BX17" s="93">
        <v>165000</v>
      </c>
      <c r="BY17">
        <f t="shared" si="2"/>
        <v>139000</v>
      </c>
      <c r="BZ17">
        <v>85000</v>
      </c>
      <c r="CA17">
        <v>54000</v>
      </c>
    </row>
    <row r="18" spans="2:79" ht="15.75" x14ac:dyDescent="0.25">
      <c r="B18" s="220"/>
      <c r="C18" s="29" t="s">
        <v>73</v>
      </c>
      <c r="D18" s="27">
        <v>85000</v>
      </c>
      <c r="E18" s="2"/>
      <c r="F18" s="35"/>
      <c r="J18" s="6">
        <v>16</v>
      </c>
      <c r="K18" s="52" t="s">
        <v>19</v>
      </c>
      <c r="L18" s="16" t="s">
        <v>19</v>
      </c>
      <c r="M18" s="16" t="s">
        <v>42</v>
      </c>
      <c r="N18" s="46" t="s">
        <v>44</v>
      </c>
      <c r="Q18" s="158">
        <v>63</v>
      </c>
      <c r="R18" s="139" t="s">
        <v>32</v>
      </c>
      <c r="S18" s="139" t="s">
        <v>117</v>
      </c>
      <c r="T18" s="139" t="s">
        <v>151</v>
      </c>
      <c r="U18" s="140" t="s">
        <v>162</v>
      </c>
      <c r="V18" s="37">
        <v>50000</v>
      </c>
      <c r="W18" s="141" t="s">
        <v>242</v>
      </c>
      <c r="X18" s="60"/>
      <c r="Y18" s="60"/>
      <c r="Z18" s="6"/>
      <c r="AA18" s="12"/>
      <c r="AB18" s="12"/>
      <c r="AC18" s="12"/>
      <c r="AD18" s="74"/>
      <c r="AE18" s="2"/>
      <c r="AF18" s="20"/>
      <c r="AG18" s="60"/>
      <c r="AH18" s="60"/>
      <c r="AI18" s="6"/>
      <c r="AJ18" s="12"/>
      <c r="AK18" s="12"/>
      <c r="AL18" s="12"/>
      <c r="AM18" s="74"/>
      <c r="AN18" s="2"/>
      <c r="AO18" s="20"/>
      <c r="AP18" s="60"/>
      <c r="AQ18" s="60"/>
      <c r="AR18" s="6"/>
      <c r="AS18" s="12"/>
      <c r="AT18" s="12"/>
      <c r="AU18" s="12"/>
      <c r="AV18" s="74"/>
      <c r="AW18" s="2"/>
      <c r="AX18" s="20"/>
      <c r="AY18" s="60"/>
      <c r="AZ18" s="60"/>
      <c r="BA18" s="6"/>
      <c r="BB18" s="12"/>
      <c r="BC18" s="12"/>
      <c r="BD18" s="12"/>
      <c r="BE18" s="74"/>
      <c r="BF18" s="2"/>
      <c r="BG18" s="20"/>
      <c r="BH18" s="60"/>
      <c r="BI18" s="142">
        <v>40</v>
      </c>
      <c r="BJ18" s="143" t="s">
        <v>32</v>
      </c>
      <c r="BK18" s="143" t="s">
        <v>115</v>
      </c>
      <c r="BL18" s="143" t="s">
        <v>212</v>
      </c>
      <c r="BM18" s="77" t="s">
        <v>110</v>
      </c>
      <c r="BN18" s="144">
        <v>75000</v>
      </c>
      <c r="BQ18" s="94">
        <v>10</v>
      </c>
      <c r="BR18" s="112" t="s">
        <v>185</v>
      </c>
      <c r="BS18" s="123" t="s">
        <v>26</v>
      </c>
      <c r="BT18" s="85" t="s">
        <v>26</v>
      </c>
      <c r="BU18" s="85" t="s">
        <v>149</v>
      </c>
      <c r="BV18" s="86" t="s">
        <v>153</v>
      </c>
      <c r="BW18" s="78" t="s">
        <v>179</v>
      </c>
      <c r="BX18" s="93">
        <v>165000</v>
      </c>
      <c r="BY18">
        <f t="shared" si="2"/>
        <v>139000</v>
      </c>
      <c r="BZ18">
        <v>85000</v>
      </c>
      <c r="CA18">
        <v>54000</v>
      </c>
    </row>
    <row r="19" spans="2:79" ht="15.75" x14ac:dyDescent="0.25">
      <c r="B19" s="220"/>
      <c r="C19" s="29" t="s">
        <v>57</v>
      </c>
      <c r="D19" s="27">
        <v>85000</v>
      </c>
      <c r="E19" s="2"/>
      <c r="F19" s="35"/>
      <c r="J19" s="6">
        <v>17</v>
      </c>
      <c r="K19" s="52" t="s">
        <v>18</v>
      </c>
      <c r="L19" s="16" t="s">
        <v>56</v>
      </c>
      <c r="M19" s="16" t="s">
        <v>42</v>
      </c>
      <c r="N19" s="46" t="s">
        <v>44</v>
      </c>
      <c r="Q19" s="149">
        <v>64</v>
      </c>
      <c r="R19" s="142">
        <v>12</v>
      </c>
      <c r="S19" s="142" t="s">
        <v>40</v>
      </c>
      <c r="T19" s="142" t="s">
        <v>151</v>
      </c>
      <c r="U19" s="76" t="s">
        <v>171</v>
      </c>
      <c r="V19" s="146">
        <v>95000</v>
      </c>
      <c r="W19" s="93" t="s">
        <v>240</v>
      </c>
      <c r="X19" s="60"/>
      <c r="Y19" s="60"/>
      <c r="Z19" s="6"/>
      <c r="AA19" s="12"/>
      <c r="AB19" s="12"/>
      <c r="AC19" s="12"/>
      <c r="AD19" s="74"/>
      <c r="AE19" s="2"/>
      <c r="AF19" s="20"/>
      <c r="AG19" s="60"/>
      <c r="AH19" s="60"/>
      <c r="AI19" s="6"/>
      <c r="AJ19" s="12"/>
      <c r="AK19" s="12"/>
      <c r="AL19" s="12"/>
      <c r="AM19" s="74"/>
      <c r="AN19" s="2"/>
      <c r="AO19" s="20"/>
      <c r="AP19" s="60"/>
      <c r="AQ19" s="60"/>
      <c r="AR19" s="6"/>
      <c r="AS19" s="12"/>
      <c r="AT19" s="12"/>
      <c r="AU19" s="12"/>
      <c r="AV19" s="74"/>
      <c r="AW19" s="2"/>
      <c r="AX19" s="20"/>
      <c r="AY19" s="60"/>
      <c r="AZ19" s="60"/>
      <c r="BA19" s="6"/>
      <c r="BB19" s="12"/>
      <c r="BC19" s="12"/>
      <c r="BD19" s="12"/>
      <c r="BE19" s="74"/>
      <c r="BF19" s="2"/>
      <c r="BG19" s="20"/>
      <c r="BH19" s="60"/>
      <c r="BI19" s="142">
        <v>3</v>
      </c>
      <c r="BJ19" s="143" t="s">
        <v>32</v>
      </c>
      <c r="BK19" s="143" t="s">
        <v>115</v>
      </c>
      <c r="BL19" s="143" t="s">
        <v>201</v>
      </c>
      <c r="BM19" s="77" t="s">
        <v>110</v>
      </c>
      <c r="BN19" s="144">
        <v>75000</v>
      </c>
      <c r="BQ19" s="119">
        <v>1</v>
      </c>
      <c r="BR19" s="120" t="s">
        <v>186</v>
      </c>
      <c r="BS19" s="121" t="s">
        <v>32</v>
      </c>
      <c r="BT19" s="122" t="s">
        <v>40</v>
      </c>
      <c r="BU19" s="121" t="s">
        <v>151</v>
      </c>
      <c r="BV19" s="86" t="s">
        <v>153</v>
      </c>
      <c r="BW19" s="78"/>
      <c r="BX19" s="93" t="s">
        <v>152</v>
      </c>
      <c r="BY19">
        <v>85000</v>
      </c>
      <c r="BZ19">
        <v>85000</v>
      </c>
    </row>
    <row r="20" spans="2:79" ht="15.75" x14ac:dyDescent="0.25">
      <c r="B20" s="221"/>
      <c r="C20" s="38" t="s">
        <v>70</v>
      </c>
      <c r="D20" s="27">
        <v>85000</v>
      </c>
      <c r="E20" s="2"/>
      <c r="F20" s="35"/>
      <c r="J20" s="6">
        <v>18</v>
      </c>
      <c r="K20" s="52" t="s">
        <v>18</v>
      </c>
      <c r="L20" s="16" t="s">
        <v>56</v>
      </c>
      <c r="M20" s="16" t="s">
        <v>42</v>
      </c>
      <c r="N20" s="46" t="s">
        <v>44</v>
      </c>
      <c r="Q20" s="149">
        <v>7</v>
      </c>
      <c r="R20" s="142">
        <v>8</v>
      </c>
      <c r="S20" s="142" t="s">
        <v>249</v>
      </c>
      <c r="T20" s="142" t="s">
        <v>151</v>
      </c>
      <c r="U20" s="76" t="s">
        <v>45</v>
      </c>
      <c r="V20" s="146">
        <v>95000</v>
      </c>
      <c r="W20" s="93" t="s">
        <v>250</v>
      </c>
      <c r="X20" s="60"/>
      <c r="Y20" s="60"/>
      <c r="Z20" s="6"/>
      <c r="AA20" s="12"/>
      <c r="AB20" s="12"/>
      <c r="AC20" s="12"/>
      <c r="AD20" s="74"/>
      <c r="AE20" s="2"/>
      <c r="AF20" s="20"/>
      <c r="AG20" s="60"/>
      <c r="AH20" s="60"/>
      <c r="AI20" s="6"/>
      <c r="AJ20" s="12"/>
      <c r="AK20" s="12"/>
      <c r="AL20" s="12"/>
      <c r="AM20" s="74"/>
      <c r="AN20" s="2"/>
      <c r="AO20" s="20"/>
      <c r="AP20" s="60"/>
      <c r="AQ20" s="60"/>
      <c r="AR20" s="6"/>
      <c r="AS20" s="12"/>
      <c r="AT20" s="12"/>
      <c r="AU20" s="12"/>
      <c r="AV20" s="74"/>
      <c r="AW20" s="2"/>
      <c r="AX20" s="20"/>
      <c r="AY20" s="60"/>
      <c r="AZ20" s="60"/>
      <c r="BA20" s="6"/>
      <c r="BB20" s="12"/>
      <c r="BC20" s="12"/>
      <c r="BD20" s="12"/>
      <c r="BE20" s="74"/>
      <c r="BF20" s="2"/>
      <c r="BG20" s="20"/>
      <c r="BH20" s="60"/>
      <c r="BI20" s="143"/>
      <c r="BJ20" s="143" t="s">
        <v>19</v>
      </c>
      <c r="BK20" s="143" t="s">
        <v>117</v>
      </c>
      <c r="BL20" s="143" t="s">
        <v>127</v>
      </c>
      <c r="BM20" s="77" t="s">
        <v>110</v>
      </c>
      <c r="BN20" s="144">
        <v>0</v>
      </c>
      <c r="BQ20" s="95">
        <v>2</v>
      </c>
      <c r="BR20" s="113"/>
      <c r="BS20" s="15" t="s">
        <v>19</v>
      </c>
      <c r="BT20" s="81" t="s">
        <v>40</v>
      </c>
      <c r="BU20" s="15" t="s">
        <v>151</v>
      </c>
      <c r="BV20" s="19" t="s">
        <v>153</v>
      </c>
      <c r="BW20" s="77" t="s">
        <v>179</v>
      </c>
      <c r="BX20" s="96" t="s">
        <v>152</v>
      </c>
      <c r="BY20">
        <v>85000</v>
      </c>
      <c r="BZ20">
        <v>85000</v>
      </c>
    </row>
    <row r="21" spans="2:79" ht="15.75" x14ac:dyDescent="0.25">
      <c r="B21" s="221"/>
      <c r="C21" s="38" t="s">
        <v>59</v>
      </c>
      <c r="D21" s="27">
        <v>85000</v>
      </c>
      <c r="E21" s="2"/>
      <c r="F21" s="35"/>
      <c r="J21" s="6">
        <v>19</v>
      </c>
      <c r="K21" s="52" t="s">
        <v>18</v>
      </c>
      <c r="L21" s="16" t="s">
        <v>56</v>
      </c>
      <c r="M21" s="48" t="s">
        <v>42</v>
      </c>
      <c r="N21" s="46" t="s">
        <v>44</v>
      </c>
      <c r="Q21" s="149">
        <v>65</v>
      </c>
      <c r="R21" s="142" t="s">
        <v>18</v>
      </c>
      <c r="S21" s="142" t="s">
        <v>153</v>
      </c>
      <c r="T21" s="142" t="s">
        <v>151</v>
      </c>
      <c r="U21" s="76" t="s">
        <v>110</v>
      </c>
      <c r="V21" s="146">
        <v>95000</v>
      </c>
      <c r="W21" s="93" t="s">
        <v>256</v>
      </c>
      <c r="X21" s="60"/>
      <c r="Y21" s="60"/>
      <c r="Z21" s="6"/>
      <c r="AA21" s="12"/>
      <c r="AB21" s="12"/>
      <c r="AC21" s="12"/>
      <c r="AD21" s="74"/>
      <c r="AE21" s="2"/>
      <c r="AF21" s="20"/>
      <c r="AG21" s="60"/>
      <c r="AH21" s="60"/>
      <c r="AI21" s="6"/>
      <c r="AJ21" s="12"/>
      <c r="AK21" s="12"/>
      <c r="AL21" s="12"/>
      <c r="AM21" s="74"/>
      <c r="AN21" s="2"/>
      <c r="AO21" s="20"/>
      <c r="AP21" s="60"/>
      <c r="AQ21" s="60"/>
      <c r="AR21" s="6"/>
      <c r="AS21" s="12"/>
      <c r="AT21" s="12"/>
      <c r="AU21" s="12"/>
      <c r="AV21" s="74"/>
      <c r="AW21" s="2"/>
      <c r="AX21" s="20"/>
      <c r="AY21" s="60"/>
      <c r="AZ21" s="60"/>
      <c r="BA21" s="6"/>
      <c r="BB21" s="12"/>
      <c r="BC21" s="12"/>
      <c r="BD21" s="12"/>
      <c r="BE21" s="74"/>
      <c r="BF21" s="2"/>
      <c r="BG21" s="20"/>
      <c r="BH21" s="60"/>
      <c r="BI21" s="142"/>
      <c r="BJ21" s="142" t="s">
        <v>128</v>
      </c>
      <c r="BK21" s="143" t="s">
        <v>117</v>
      </c>
      <c r="BL21" s="143" t="s">
        <v>214</v>
      </c>
      <c r="BM21" s="77" t="s">
        <v>110</v>
      </c>
      <c r="BN21" s="144">
        <v>0</v>
      </c>
      <c r="BQ21" s="94">
        <v>12</v>
      </c>
      <c r="BR21" s="112" t="s">
        <v>187</v>
      </c>
      <c r="BS21" s="85" t="s">
        <v>32</v>
      </c>
      <c r="BT21" s="85" t="s">
        <v>26</v>
      </c>
      <c r="BU21" s="85" t="s">
        <v>157</v>
      </c>
      <c r="BV21" s="85" t="s">
        <v>153</v>
      </c>
      <c r="BW21" s="78" t="s">
        <v>179</v>
      </c>
      <c r="BX21" s="93">
        <v>165000</v>
      </c>
      <c r="BY21">
        <f t="shared" ref="BY21" si="3">85000+54000</f>
        <v>139000</v>
      </c>
      <c r="BZ21">
        <v>85000</v>
      </c>
      <c r="CA21">
        <v>54000</v>
      </c>
    </row>
    <row r="22" spans="2:79" ht="16.5" thickBot="1" x14ac:dyDescent="0.3">
      <c r="B22" s="221"/>
      <c r="C22" s="38" t="s">
        <v>81</v>
      </c>
      <c r="D22" s="68">
        <v>85000</v>
      </c>
      <c r="E22" s="39"/>
      <c r="F22" s="40"/>
      <c r="J22" s="23">
        <v>20</v>
      </c>
      <c r="K22" s="53" t="s">
        <v>19</v>
      </c>
      <c r="L22" s="48" t="s">
        <v>56</v>
      </c>
      <c r="M22" s="48" t="s">
        <v>42</v>
      </c>
      <c r="N22" s="49" t="s">
        <v>44</v>
      </c>
      <c r="Q22" s="143">
        <v>66</v>
      </c>
      <c r="R22" s="142">
        <v>12</v>
      </c>
      <c r="S22" s="143" t="s">
        <v>40</v>
      </c>
      <c r="T22" s="143" t="s">
        <v>151</v>
      </c>
      <c r="U22" s="76" t="s">
        <v>110</v>
      </c>
      <c r="V22" s="146">
        <v>95000</v>
      </c>
      <c r="W22" s="166" t="s">
        <v>271</v>
      </c>
      <c r="X22" s="60"/>
      <c r="Y22" s="60"/>
      <c r="Z22" s="6"/>
      <c r="AA22" s="12"/>
      <c r="AB22" s="12"/>
      <c r="AC22" s="12"/>
      <c r="AD22" s="74"/>
      <c r="AE22" s="2"/>
      <c r="AF22" s="72"/>
      <c r="AG22" s="60"/>
      <c r="AH22" s="60"/>
      <c r="AI22" s="6"/>
      <c r="AJ22" s="12"/>
      <c r="AK22" s="12"/>
      <c r="AL22" s="12"/>
      <c r="AM22" s="74"/>
      <c r="AN22" s="2"/>
      <c r="AO22" s="72"/>
      <c r="AP22" s="60"/>
      <c r="AQ22" s="60"/>
      <c r="AR22" s="6"/>
      <c r="AS22" s="12"/>
      <c r="AT22" s="12"/>
      <c r="AU22" s="12"/>
      <c r="AV22" s="74"/>
      <c r="AW22" s="2"/>
      <c r="AX22" s="72"/>
      <c r="BA22" s="6"/>
      <c r="BB22" s="12"/>
      <c r="BC22" s="12"/>
      <c r="BD22" s="12"/>
      <c r="BE22" s="74"/>
      <c r="BF22" s="2"/>
      <c r="BG22" s="72"/>
      <c r="BH22" s="1"/>
      <c r="BI22" s="143"/>
      <c r="BJ22" s="143" t="s">
        <v>19</v>
      </c>
      <c r="BK22" s="143" t="s">
        <v>117</v>
      </c>
      <c r="BL22" s="143" t="s">
        <v>127</v>
      </c>
      <c r="BM22" s="77" t="s">
        <v>110</v>
      </c>
      <c r="BN22" s="144">
        <v>0</v>
      </c>
      <c r="BQ22" s="97"/>
      <c r="BR22" s="114"/>
      <c r="BS22" s="98"/>
      <c r="BT22" s="98"/>
      <c r="BU22" s="98"/>
      <c r="BV22" s="98"/>
      <c r="BW22" s="98"/>
      <c r="BX22" s="99"/>
    </row>
    <row r="23" spans="2:79" ht="15.75" x14ac:dyDescent="0.25">
      <c r="B23" s="221"/>
      <c r="C23" s="55" t="s">
        <v>77</v>
      </c>
      <c r="D23" s="68">
        <v>85000</v>
      </c>
      <c r="E23" s="39"/>
      <c r="F23" s="40"/>
      <c r="J23" s="5">
        <v>21</v>
      </c>
      <c r="K23" s="41">
        <v>6</v>
      </c>
      <c r="L23" s="41" t="s">
        <v>40</v>
      </c>
      <c r="M23" s="41" t="s">
        <v>42</v>
      </c>
      <c r="N23" s="10" t="s">
        <v>44</v>
      </c>
      <c r="Q23" s="143">
        <v>67</v>
      </c>
      <c r="R23" s="142">
        <v>16</v>
      </c>
      <c r="S23" s="143" t="s">
        <v>40</v>
      </c>
      <c r="T23" s="143" t="s">
        <v>151</v>
      </c>
      <c r="U23" s="76" t="s">
        <v>110</v>
      </c>
      <c r="V23" s="144">
        <v>95000</v>
      </c>
      <c r="W23" s="166" t="s">
        <v>273</v>
      </c>
      <c r="X23" s="60"/>
      <c r="Y23" s="60"/>
      <c r="Z23" s="6"/>
      <c r="AA23" s="12"/>
      <c r="AB23" s="12"/>
      <c r="AC23" s="12"/>
      <c r="AD23" s="74"/>
      <c r="AE23" s="2"/>
      <c r="AF23" s="72"/>
      <c r="AG23" s="60"/>
      <c r="AH23" s="60"/>
      <c r="AI23" s="6"/>
      <c r="AJ23" s="12"/>
      <c r="AK23" s="12"/>
      <c r="AL23" s="12"/>
      <c r="AM23" s="74"/>
      <c r="AN23" s="2"/>
      <c r="AO23" s="72"/>
      <c r="AP23" s="60"/>
      <c r="AQ23" s="60"/>
      <c r="AR23" s="6"/>
      <c r="AS23" s="12"/>
      <c r="AT23" s="12"/>
      <c r="AU23" s="12"/>
      <c r="AV23" s="74"/>
      <c r="AW23" s="2"/>
      <c r="AX23" s="72"/>
      <c r="BA23" s="6"/>
      <c r="BB23" s="12"/>
      <c r="BC23" s="12"/>
      <c r="BD23" s="12"/>
      <c r="BE23" s="74"/>
      <c r="BF23" s="2"/>
      <c r="BG23" s="72"/>
      <c r="BH23" s="1"/>
      <c r="BI23" s="142"/>
      <c r="BJ23" s="142" t="s">
        <v>128</v>
      </c>
      <c r="BK23" s="143" t="s">
        <v>117</v>
      </c>
      <c r="BL23" s="143" t="s">
        <v>214</v>
      </c>
      <c r="BM23" s="77" t="s">
        <v>110</v>
      </c>
      <c r="BN23" s="144">
        <v>0</v>
      </c>
      <c r="BQ23" s="246" t="s">
        <v>158</v>
      </c>
      <c r="BR23" s="247"/>
      <c r="BS23" s="248"/>
      <c r="BT23" s="249"/>
    </row>
    <row r="24" spans="2:79" ht="15.75" x14ac:dyDescent="0.25">
      <c r="B24" s="221"/>
      <c r="C24" s="38" t="s">
        <v>76</v>
      </c>
      <c r="D24" s="68">
        <v>85000</v>
      </c>
      <c r="E24" s="39"/>
      <c r="F24" s="40"/>
      <c r="J24" s="6">
        <v>22</v>
      </c>
      <c r="K24" s="16">
        <v>8</v>
      </c>
      <c r="L24" s="16" t="s">
        <v>40</v>
      </c>
      <c r="M24" s="16" t="s">
        <v>42</v>
      </c>
      <c r="N24" s="46" t="s">
        <v>44</v>
      </c>
      <c r="Q24" s="142">
        <v>68</v>
      </c>
      <c r="R24" s="142">
        <v>8</v>
      </c>
      <c r="S24" s="143" t="s">
        <v>40</v>
      </c>
      <c r="T24" s="143" t="s">
        <v>151</v>
      </c>
      <c r="U24" s="76" t="s">
        <v>110</v>
      </c>
      <c r="V24" s="144">
        <v>95000</v>
      </c>
      <c r="W24" s="166" t="s">
        <v>279</v>
      </c>
      <c r="X24" s="60"/>
      <c r="Y24" s="60"/>
      <c r="Z24" s="6"/>
      <c r="AA24" s="12"/>
      <c r="AB24" s="12"/>
      <c r="AC24" s="12"/>
      <c r="AD24" s="74"/>
      <c r="AE24" s="2"/>
      <c r="AF24" s="72"/>
      <c r="AG24" s="60"/>
      <c r="AH24" s="60"/>
      <c r="AI24" s="6"/>
      <c r="AJ24" s="12"/>
      <c r="AK24" s="12"/>
      <c r="AL24" s="12"/>
      <c r="AM24" s="74"/>
      <c r="AN24" s="2"/>
      <c r="AO24" s="72"/>
      <c r="AP24" s="60"/>
      <c r="AQ24" s="60"/>
      <c r="AR24" s="6"/>
      <c r="AS24" s="12"/>
      <c r="AT24" s="12"/>
      <c r="AU24" s="12"/>
      <c r="AV24" s="74"/>
      <c r="AW24" s="2"/>
      <c r="AX24" s="72"/>
      <c r="BA24" s="6"/>
      <c r="BB24" s="12"/>
      <c r="BC24" s="12"/>
      <c r="BD24" s="12"/>
      <c r="BE24" s="74"/>
      <c r="BF24" s="2"/>
      <c r="BG24" s="72"/>
      <c r="BH24" s="1"/>
      <c r="BI24" s="143"/>
      <c r="BJ24" s="143" t="s">
        <v>32</v>
      </c>
      <c r="BK24" s="142" t="s">
        <v>153</v>
      </c>
      <c r="BL24" s="142" t="s">
        <v>254</v>
      </c>
      <c r="BM24" s="77" t="s">
        <v>110</v>
      </c>
      <c r="BN24" s="144">
        <v>75000</v>
      </c>
      <c r="BQ24" s="87" t="s">
        <v>159</v>
      </c>
      <c r="BR24" s="47"/>
      <c r="BS24" s="83">
        <v>18</v>
      </c>
      <c r="BT24" s="88"/>
      <c r="BZ24" s="9">
        <v>2340000</v>
      </c>
    </row>
    <row r="25" spans="2:79" ht="16.5" thickBot="1" x14ac:dyDescent="0.3">
      <c r="B25" s="221"/>
      <c r="C25" s="38" t="s">
        <v>92</v>
      </c>
      <c r="D25" s="68">
        <v>42500</v>
      </c>
      <c r="E25" s="39"/>
      <c r="F25" s="40"/>
      <c r="J25" s="6">
        <v>23</v>
      </c>
      <c r="K25" s="16">
        <v>10</v>
      </c>
      <c r="L25" s="16" t="s">
        <v>40</v>
      </c>
      <c r="M25" s="16" t="s">
        <v>42</v>
      </c>
      <c r="N25" s="46" t="s">
        <v>44</v>
      </c>
      <c r="Q25" s="142">
        <v>69</v>
      </c>
      <c r="R25" s="142">
        <v>10</v>
      </c>
      <c r="S25" s="143" t="s">
        <v>40</v>
      </c>
      <c r="T25" s="143" t="s">
        <v>151</v>
      </c>
      <c r="U25" s="76" t="s">
        <v>110</v>
      </c>
      <c r="V25" s="144">
        <v>95000</v>
      </c>
      <c r="W25" s="166" t="s">
        <v>280</v>
      </c>
      <c r="X25" s="60"/>
      <c r="Y25" s="60"/>
      <c r="Z25" s="6"/>
      <c r="AA25" s="12"/>
      <c r="AB25" s="12"/>
      <c r="AC25" s="12"/>
      <c r="AD25" s="74"/>
      <c r="AE25" s="2"/>
      <c r="AF25" s="72"/>
      <c r="AG25" s="60"/>
      <c r="AH25" s="60"/>
      <c r="AI25" s="6"/>
      <c r="AJ25" s="12"/>
      <c r="AK25" s="12"/>
      <c r="AL25" s="12"/>
      <c r="AM25" s="74"/>
      <c r="AN25" s="2"/>
      <c r="AO25" s="72"/>
      <c r="AP25" s="60"/>
      <c r="AQ25" s="60"/>
      <c r="AR25" s="6"/>
      <c r="AS25" s="12"/>
      <c r="AT25" s="12"/>
      <c r="AU25" s="12"/>
      <c r="AV25" s="74"/>
      <c r="AW25" s="2"/>
      <c r="AX25" s="72"/>
      <c r="BA25" s="6"/>
      <c r="BB25" s="12"/>
      <c r="BC25" s="12"/>
      <c r="BD25" s="12"/>
      <c r="BE25" s="74"/>
      <c r="BF25" s="2"/>
      <c r="BG25" s="72"/>
      <c r="BH25" s="1"/>
      <c r="BI25" s="142">
        <v>3</v>
      </c>
      <c r="BJ25" s="142" t="s">
        <v>32</v>
      </c>
      <c r="BK25" s="142" t="s">
        <v>153</v>
      </c>
      <c r="BL25" s="143" t="s">
        <v>201</v>
      </c>
      <c r="BM25" s="77" t="s">
        <v>110</v>
      </c>
      <c r="BN25" s="144">
        <v>75000</v>
      </c>
      <c r="BQ25" s="89" t="s">
        <v>160</v>
      </c>
      <c r="BR25" s="115"/>
      <c r="BS25" s="90">
        <v>15</v>
      </c>
      <c r="BT25" s="91"/>
      <c r="BZ25" s="9">
        <f>BZ24-CA28</f>
        <v>1666000</v>
      </c>
    </row>
    <row r="26" spans="2:79" ht="16.5" thickBot="1" x14ac:dyDescent="0.3">
      <c r="B26" s="221"/>
      <c r="C26" s="38" t="s">
        <v>86</v>
      </c>
      <c r="D26" s="68">
        <v>85000</v>
      </c>
      <c r="E26" s="39"/>
      <c r="F26" s="40"/>
      <c r="J26" s="6">
        <v>24</v>
      </c>
      <c r="K26" s="16">
        <v>12</v>
      </c>
      <c r="L26" s="16" t="s">
        <v>40</v>
      </c>
      <c r="M26" s="16" t="s">
        <v>42</v>
      </c>
      <c r="N26" s="46" t="s">
        <v>44</v>
      </c>
      <c r="Q26" s="142">
        <v>70</v>
      </c>
      <c r="R26" s="142">
        <v>4</v>
      </c>
      <c r="S26" s="143" t="s">
        <v>40</v>
      </c>
      <c r="T26" s="143" t="s">
        <v>151</v>
      </c>
      <c r="U26" s="76" t="s">
        <v>110</v>
      </c>
      <c r="V26" s="144">
        <v>95000</v>
      </c>
      <c r="W26" s="166" t="s">
        <v>281</v>
      </c>
      <c r="X26" s="60"/>
      <c r="Y26" s="60"/>
      <c r="Z26" s="6"/>
      <c r="AA26" s="12"/>
      <c r="AB26" s="12"/>
      <c r="AC26" s="12"/>
      <c r="AD26" s="74"/>
      <c r="AE26" s="2"/>
      <c r="AF26" s="72"/>
      <c r="AG26" s="60"/>
      <c r="AH26" s="60"/>
      <c r="AI26" s="6"/>
      <c r="AJ26" s="12"/>
      <c r="AK26" s="12"/>
      <c r="AL26" s="12"/>
      <c r="AM26" s="74"/>
      <c r="AN26" s="2"/>
      <c r="AO26" s="72"/>
      <c r="AP26" s="60"/>
      <c r="AQ26" s="60"/>
      <c r="AR26" s="6"/>
      <c r="AS26" s="12"/>
      <c r="AT26" s="12"/>
      <c r="AU26" s="12"/>
      <c r="AV26" s="74"/>
      <c r="AW26" s="2"/>
      <c r="AX26" s="72"/>
      <c r="BA26" s="6"/>
      <c r="BB26" s="12"/>
      <c r="BC26" s="12"/>
      <c r="BD26" s="12"/>
      <c r="BE26" s="74"/>
      <c r="BF26" s="2"/>
      <c r="BG26" s="72"/>
      <c r="BH26" s="1"/>
      <c r="BI26" s="142"/>
      <c r="BJ26" s="142" t="s">
        <v>128</v>
      </c>
      <c r="BK26" s="142" t="s">
        <v>257</v>
      </c>
      <c r="BL26" s="142" t="s">
        <v>258</v>
      </c>
      <c r="BM26" s="77" t="s">
        <v>110</v>
      </c>
      <c r="BN26" s="144">
        <v>75000</v>
      </c>
    </row>
    <row r="27" spans="2:79" ht="15.75" x14ac:dyDescent="0.25">
      <c r="B27" s="221"/>
      <c r="C27" s="38" t="s">
        <v>172</v>
      </c>
      <c r="D27" s="39">
        <v>60000</v>
      </c>
      <c r="E27" s="39"/>
      <c r="F27" s="40"/>
      <c r="J27" s="6">
        <v>25</v>
      </c>
      <c r="K27" s="16">
        <v>16</v>
      </c>
      <c r="L27" s="16" t="s">
        <v>40</v>
      </c>
      <c r="M27" s="16" t="s">
        <v>42</v>
      </c>
      <c r="N27" s="46" t="s">
        <v>44</v>
      </c>
      <c r="Q27" s="143">
        <v>71</v>
      </c>
      <c r="R27" s="143" t="s">
        <v>32</v>
      </c>
      <c r="S27" s="143" t="s">
        <v>115</v>
      </c>
      <c r="T27" s="143" t="s">
        <v>151</v>
      </c>
      <c r="U27" s="76" t="s">
        <v>110</v>
      </c>
      <c r="V27" s="144">
        <v>95000</v>
      </c>
      <c r="W27" s="166" t="s">
        <v>287</v>
      </c>
      <c r="X27" s="60"/>
      <c r="Y27" s="60"/>
      <c r="Z27" s="6"/>
      <c r="AA27" s="12"/>
      <c r="AB27" s="12"/>
      <c r="AC27" s="12"/>
      <c r="AD27" s="74"/>
      <c r="AE27" s="2"/>
      <c r="AF27" s="72"/>
      <c r="AG27" s="60"/>
      <c r="AH27" s="60"/>
      <c r="AI27" s="6"/>
      <c r="AJ27" s="12"/>
      <c r="AK27" s="12"/>
      <c r="AL27" s="12"/>
      <c r="AM27" s="74"/>
      <c r="AN27" s="2"/>
      <c r="AO27" s="72"/>
      <c r="AP27" s="60"/>
      <c r="AQ27" s="60"/>
      <c r="AR27" s="6"/>
      <c r="AS27" s="12"/>
      <c r="AT27" s="12"/>
      <c r="AU27" s="12"/>
      <c r="AV27" s="74"/>
      <c r="AW27" s="2"/>
      <c r="AX27" s="72"/>
      <c r="BA27" s="6"/>
      <c r="BB27" s="12"/>
      <c r="BC27" s="12"/>
      <c r="BD27" s="12"/>
      <c r="BE27" s="74"/>
      <c r="BF27" s="2"/>
      <c r="BG27" s="72"/>
      <c r="BH27" s="1"/>
      <c r="BI27" s="142">
        <v>10</v>
      </c>
      <c r="BJ27" s="142" t="s">
        <v>138</v>
      </c>
      <c r="BK27" s="142" t="s">
        <v>153</v>
      </c>
      <c r="BL27" s="142" t="s">
        <v>294</v>
      </c>
      <c r="BM27" s="77" t="s">
        <v>110</v>
      </c>
      <c r="BN27" s="144">
        <v>75000</v>
      </c>
      <c r="BQ27" s="204" t="s">
        <v>163</v>
      </c>
      <c r="BR27" s="205"/>
      <c r="BS27" s="212"/>
      <c r="BT27" s="212"/>
      <c r="BU27" s="212"/>
      <c r="BV27" s="211"/>
      <c r="BW27" s="212"/>
      <c r="BX27" s="215"/>
      <c r="CA27" s="17">
        <f>BX4+BX5+BX6+BX7+BX15+BX14+BX13+BX16+BX17+BX31+BX32</f>
        <v>1512000</v>
      </c>
    </row>
    <row r="28" spans="2:79" ht="17.25" customHeight="1" thickBot="1" x14ac:dyDescent="0.3">
      <c r="B28" s="221"/>
      <c r="C28" s="38" t="s">
        <v>104</v>
      </c>
      <c r="D28" s="39">
        <v>85000</v>
      </c>
      <c r="E28" s="39"/>
      <c r="F28" s="40"/>
      <c r="J28" s="6">
        <v>26</v>
      </c>
      <c r="K28" s="16" t="s">
        <v>19</v>
      </c>
      <c r="L28" s="16" t="s">
        <v>56</v>
      </c>
      <c r="M28" s="16" t="s">
        <v>42</v>
      </c>
      <c r="N28" s="46" t="s">
        <v>44</v>
      </c>
      <c r="Q28" s="143">
        <v>72</v>
      </c>
      <c r="R28" s="143">
        <v>14</v>
      </c>
      <c r="S28" s="143" t="s">
        <v>249</v>
      </c>
      <c r="T28" s="143" t="s">
        <v>151</v>
      </c>
      <c r="U28" s="76" t="s">
        <v>110</v>
      </c>
      <c r="V28" s="144">
        <v>95000</v>
      </c>
      <c r="W28" s="166" t="s">
        <v>288</v>
      </c>
      <c r="X28" s="60"/>
      <c r="Y28" s="60"/>
      <c r="Z28" s="6"/>
      <c r="AA28" s="12"/>
      <c r="AB28" s="12"/>
      <c r="AC28" s="12"/>
      <c r="AD28" s="74"/>
      <c r="AE28" s="2"/>
      <c r="AF28" s="72"/>
      <c r="AG28" s="60"/>
      <c r="AH28" s="60"/>
      <c r="AI28" s="6"/>
      <c r="AJ28" s="12"/>
      <c r="AK28" s="12"/>
      <c r="AL28" s="12"/>
      <c r="AM28" s="74"/>
      <c r="AN28" s="2"/>
      <c r="AO28" s="72"/>
      <c r="AP28" s="60"/>
      <c r="AQ28" s="60"/>
      <c r="AR28" s="6"/>
      <c r="AS28" s="12"/>
      <c r="AT28" s="12"/>
      <c r="AU28" s="12"/>
      <c r="AV28" s="74"/>
      <c r="AW28" s="2"/>
      <c r="AX28" s="72"/>
      <c r="BA28" s="6"/>
      <c r="BB28" s="12"/>
      <c r="BC28" s="12"/>
      <c r="BD28" s="12"/>
      <c r="BE28" s="74"/>
      <c r="BF28" s="2"/>
      <c r="BG28" s="72"/>
      <c r="BH28" s="1"/>
      <c r="BI28" s="142">
        <v>10</v>
      </c>
      <c r="BJ28" s="142" t="s">
        <v>19</v>
      </c>
      <c r="BK28" s="142" t="s">
        <v>257</v>
      </c>
      <c r="BL28" s="142" t="s">
        <v>295</v>
      </c>
      <c r="BM28" s="77" t="s">
        <v>110</v>
      </c>
      <c r="BN28" s="144">
        <v>75000</v>
      </c>
      <c r="BQ28" s="213"/>
      <c r="BR28" s="214"/>
      <c r="BS28" s="214"/>
      <c r="BT28" s="214"/>
      <c r="BU28" s="214"/>
      <c r="BV28" s="213"/>
      <c r="BW28" s="214"/>
      <c r="BX28" s="218"/>
      <c r="BZ28" t="s">
        <v>162</v>
      </c>
      <c r="CA28" s="9">
        <v>674000</v>
      </c>
    </row>
    <row r="29" spans="2:79" ht="30" customHeight="1" thickBot="1" x14ac:dyDescent="0.3">
      <c r="B29" s="221"/>
      <c r="C29" s="38" t="s">
        <v>108</v>
      </c>
      <c r="D29" s="39">
        <v>85000</v>
      </c>
      <c r="E29" s="39"/>
      <c r="F29" s="40"/>
      <c r="J29" s="6">
        <v>27</v>
      </c>
      <c r="K29" s="16" t="s">
        <v>19</v>
      </c>
      <c r="L29" s="16" t="s">
        <v>56</v>
      </c>
      <c r="M29" s="16" t="s">
        <v>42</v>
      </c>
      <c r="N29" s="46" t="s">
        <v>44</v>
      </c>
      <c r="Q29" s="143">
        <v>73</v>
      </c>
      <c r="R29" s="142">
        <v>10</v>
      </c>
      <c r="S29" s="143" t="s">
        <v>249</v>
      </c>
      <c r="T29" s="143" t="s">
        <v>151</v>
      </c>
      <c r="U29" s="76" t="s">
        <v>110</v>
      </c>
      <c r="V29" s="144">
        <v>95000</v>
      </c>
      <c r="W29" s="93" t="s">
        <v>296</v>
      </c>
      <c r="X29" s="60"/>
      <c r="Y29" s="60"/>
      <c r="Z29" s="6"/>
      <c r="AA29" s="12"/>
      <c r="AB29" s="12"/>
      <c r="AC29" s="12"/>
      <c r="AD29" s="74"/>
      <c r="AE29" s="2"/>
      <c r="AF29" s="20"/>
      <c r="AG29" s="60"/>
      <c r="AH29" s="60"/>
      <c r="AI29" s="6"/>
      <c r="AJ29" s="12"/>
      <c r="AK29" s="12"/>
      <c r="AL29" s="12"/>
      <c r="AM29" s="74"/>
      <c r="AN29" s="2"/>
      <c r="AO29" s="20"/>
      <c r="AP29" s="60"/>
      <c r="AQ29" s="60"/>
      <c r="AR29" s="6"/>
      <c r="AS29" s="12"/>
      <c r="AT29" s="12"/>
      <c r="AU29" s="12"/>
      <c r="AV29" s="74"/>
      <c r="AW29" s="2"/>
      <c r="AX29" s="20"/>
      <c r="AY29" s="60"/>
      <c r="AZ29" s="60"/>
      <c r="BA29" s="6"/>
      <c r="BB29" s="12"/>
      <c r="BC29" s="12"/>
      <c r="BD29" s="12"/>
      <c r="BE29" s="74"/>
      <c r="BF29" s="2"/>
      <c r="BG29" s="20"/>
      <c r="BH29" s="60"/>
      <c r="BI29" s="167">
        <v>24</v>
      </c>
      <c r="BJ29" s="168" t="s">
        <v>32</v>
      </c>
      <c r="BK29" s="168" t="s">
        <v>117</v>
      </c>
      <c r="BL29" s="168" t="s">
        <v>316</v>
      </c>
      <c r="BM29" s="74"/>
      <c r="BN29" s="2"/>
      <c r="BQ29" s="75" t="s">
        <v>154</v>
      </c>
      <c r="BR29" s="75"/>
      <c r="BS29" s="75" t="s">
        <v>132</v>
      </c>
      <c r="BT29" s="75" t="s">
        <v>133</v>
      </c>
      <c r="BU29" s="75" t="s">
        <v>112</v>
      </c>
      <c r="BV29" s="75" t="s">
        <v>23</v>
      </c>
      <c r="BW29" s="75" t="s">
        <v>113</v>
      </c>
      <c r="BX29" s="75" t="s">
        <v>114</v>
      </c>
      <c r="BZ29" t="s">
        <v>161</v>
      </c>
      <c r="CA29" s="9">
        <f>CA27-CA28+85000+85000</f>
        <v>1008000</v>
      </c>
    </row>
    <row r="30" spans="2:79" ht="15.75" x14ac:dyDescent="0.25">
      <c r="B30" s="221"/>
      <c r="C30" s="38"/>
      <c r="D30" s="39"/>
      <c r="E30" s="39"/>
      <c r="F30" s="40"/>
      <c r="J30" s="6">
        <v>28</v>
      </c>
      <c r="K30" s="16" t="s">
        <v>19</v>
      </c>
      <c r="L30" s="16" t="s">
        <v>19</v>
      </c>
      <c r="M30" s="16" t="s">
        <v>42</v>
      </c>
      <c r="N30" s="46" t="s">
        <v>44</v>
      </c>
      <c r="Q30" s="80">
        <v>74</v>
      </c>
      <c r="R30" s="80">
        <v>6</v>
      </c>
      <c r="S30" s="173" t="s">
        <v>40</v>
      </c>
      <c r="T30" s="80" t="s">
        <v>151</v>
      </c>
      <c r="U30" s="174" t="s">
        <v>110</v>
      </c>
      <c r="V30" s="175">
        <v>80000</v>
      </c>
      <c r="W30" s="176" t="s">
        <v>305</v>
      </c>
      <c r="X30" s="60"/>
      <c r="Y30" s="60"/>
      <c r="Z30" s="6"/>
      <c r="AA30" s="12"/>
      <c r="AB30" s="12"/>
      <c r="AC30" s="160"/>
      <c r="AD30" s="161"/>
      <c r="AE30" s="84"/>
      <c r="AF30" s="20"/>
      <c r="AG30" s="60"/>
      <c r="AH30" s="60"/>
      <c r="AI30" s="6"/>
      <c r="AJ30" s="12"/>
      <c r="AK30" s="12"/>
      <c r="AL30" s="160"/>
      <c r="AM30" s="161"/>
      <c r="AN30" s="84"/>
      <c r="AO30" s="20"/>
      <c r="AP30" s="60"/>
      <c r="AQ30" s="60"/>
      <c r="AR30" s="6"/>
      <c r="AS30" s="12"/>
      <c r="AT30" s="12"/>
      <c r="AU30" s="160"/>
      <c r="AV30" s="161"/>
      <c r="AW30" s="84"/>
      <c r="AX30" s="20"/>
      <c r="AY30" s="60"/>
      <c r="AZ30" s="60"/>
      <c r="BA30" s="6"/>
      <c r="BB30" s="12"/>
      <c r="BC30" s="12"/>
      <c r="BD30" s="160"/>
      <c r="BE30" s="161"/>
      <c r="BF30" s="84"/>
      <c r="BG30" s="20"/>
      <c r="BH30" s="60"/>
      <c r="BI30" s="178">
        <v>24</v>
      </c>
      <c r="BJ30" s="42" t="s">
        <v>26</v>
      </c>
      <c r="BK30" s="42" t="s">
        <v>117</v>
      </c>
      <c r="BL30" s="42" t="s">
        <v>317</v>
      </c>
      <c r="BM30" s="74"/>
      <c r="BN30" s="2"/>
      <c r="BQ30" s="56">
        <v>20</v>
      </c>
      <c r="BR30" s="111"/>
      <c r="BS30" s="19" t="s">
        <v>40</v>
      </c>
      <c r="BT30" s="19" t="s">
        <v>32</v>
      </c>
      <c r="BU30" s="19" t="s">
        <v>148</v>
      </c>
      <c r="BV30" s="19" t="s">
        <v>155</v>
      </c>
      <c r="BW30" s="78" t="s">
        <v>46</v>
      </c>
      <c r="BX30" s="93">
        <v>70000</v>
      </c>
      <c r="BY30">
        <v>54000</v>
      </c>
    </row>
    <row r="31" spans="2:79" ht="15.75" x14ac:dyDescent="0.25">
      <c r="B31" s="221"/>
      <c r="C31" s="38" t="s">
        <v>111</v>
      </c>
      <c r="D31" s="39">
        <v>85000</v>
      </c>
      <c r="E31" s="39"/>
      <c r="F31" s="40"/>
      <c r="J31" s="6"/>
      <c r="K31" s="16"/>
      <c r="L31" s="16"/>
      <c r="M31" s="16"/>
      <c r="N31" s="46"/>
      <c r="Q31" s="143">
        <v>75</v>
      </c>
      <c r="R31" s="143">
        <v>14</v>
      </c>
      <c r="S31" s="172" t="s">
        <v>40</v>
      </c>
      <c r="T31" s="143" t="s">
        <v>151</v>
      </c>
      <c r="U31" s="76" t="s">
        <v>110</v>
      </c>
      <c r="V31" s="144">
        <v>95000</v>
      </c>
      <c r="W31" s="93" t="s">
        <v>306</v>
      </c>
      <c r="X31" s="60"/>
      <c r="Y31" s="60"/>
      <c r="Z31" s="6"/>
      <c r="AA31" s="12"/>
      <c r="AB31" s="12"/>
      <c r="AC31" s="12"/>
      <c r="AD31" s="74"/>
      <c r="AE31" s="2"/>
      <c r="AF31" s="20"/>
      <c r="AG31" s="60"/>
      <c r="AH31" s="60"/>
      <c r="AI31" s="6"/>
      <c r="AJ31" s="12"/>
      <c r="AK31" s="12"/>
      <c r="AL31" s="12"/>
      <c r="AM31" s="74"/>
      <c r="AN31" s="2"/>
      <c r="AO31" s="20"/>
      <c r="AP31" s="60"/>
      <c r="AQ31" s="60"/>
      <c r="AR31" s="6"/>
      <c r="AS31" s="12"/>
      <c r="AT31" s="12"/>
      <c r="AU31" s="12"/>
      <c r="AV31" s="74"/>
      <c r="AW31" s="2"/>
      <c r="AX31" s="20"/>
      <c r="AY31" s="60"/>
      <c r="AZ31" s="60"/>
      <c r="BA31" s="6"/>
      <c r="BB31" s="12"/>
      <c r="BC31" s="12"/>
      <c r="BD31" s="12"/>
      <c r="BE31" s="74"/>
      <c r="BF31" s="2"/>
      <c r="BG31" s="20"/>
      <c r="BH31" s="60"/>
      <c r="BI31" s="12"/>
      <c r="BJ31" s="12"/>
      <c r="BK31" s="12"/>
      <c r="BL31" s="12"/>
      <c r="BM31" s="74"/>
      <c r="BN31" s="2"/>
      <c r="BQ31" s="6">
        <v>13</v>
      </c>
      <c r="BR31" s="11"/>
      <c r="BS31" s="73" t="s">
        <v>40</v>
      </c>
      <c r="BT31" s="12">
        <v>2</v>
      </c>
      <c r="BU31" s="12" t="s">
        <v>146</v>
      </c>
      <c r="BV31" s="19" t="s">
        <v>155</v>
      </c>
      <c r="BW31" s="76" t="s">
        <v>45</v>
      </c>
      <c r="BX31" s="93">
        <v>27000</v>
      </c>
    </row>
    <row r="32" spans="2:79" ht="15.75" x14ac:dyDescent="0.25">
      <c r="B32" s="221"/>
      <c r="C32" s="32"/>
      <c r="D32" s="39"/>
      <c r="E32" s="39"/>
      <c r="F32" s="40"/>
      <c r="J32" s="6">
        <v>29</v>
      </c>
      <c r="K32" s="16" t="s">
        <v>19</v>
      </c>
      <c r="L32" s="16" t="s">
        <v>19</v>
      </c>
      <c r="M32" s="16" t="s">
        <v>42</v>
      </c>
      <c r="N32" s="46" t="s">
        <v>44</v>
      </c>
      <c r="Q32" s="143">
        <v>76</v>
      </c>
      <c r="R32" s="142">
        <v>12</v>
      </c>
      <c r="S32" s="172" t="s">
        <v>40</v>
      </c>
      <c r="T32" s="143" t="s">
        <v>151</v>
      </c>
      <c r="U32" s="76" t="s">
        <v>110</v>
      </c>
      <c r="V32" s="144">
        <v>95000</v>
      </c>
      <c r="W32" s="93" t="s">
        <v>307</v>
      </c>
      <c r="X32" s="60"/>
      <c r="Y32" s="60"/>
      <c r="Z32" s="6"/>
      <c r="AA32" s="12"/>
      <c r="AB32" s="12"/>
      <c r="AC32" s="12"/>
      <c r="AD32" s="74"/>
      <c r="AE32" s="2"/>
      <c r="AF32" s="20"/>
      <c r="AG32" s="60"/>
      <c r="AH32" s="60"/>
      <c r="AI32" s="6"/>
      <c r="AJ32" s="12"/>
      <c r="AK32" s="12"/>
      <c r="AL32" s="12"/>
      <c r="AM32" s="74"/>
      <c r="AN32" s="2"/>
      <c r="AO32" s="20"/>
      <c r="AP32" s="60"/>
      <c r="AQ32" s="60"/>
      <c r="AR32" s="6"/>
      <c r="AS32" s="12"/>
      <c r="AT32" s="12"/>
      <c r="AU32" s="12"/>
      <c r="AV32" s="74"/>
      <c r="AW32" s="2"/>
      <c r="AX32" s="20"/>
      <c r="AY32" s="60"/>
      <c r="AZ32" s="60"/>
      <c r="BA32" s="6"/>
      <c r="BB32" s="12"/>
      <c r="BC32" s="12"/>
      <c r="BD32" s="12"/>
      <c r="BE32" s="74"/>
      <c r="BF32" s="2"/>
      <c r="BG32" s="20"/>
      <c r="BH32" s="60"/>
      <c r="BI32" s="12"/>
      <c r="BJ32" s="12"/>
      <c r="BK32" s="12"/>
      <c r="BL32" s="12"/>
      <c r="BM32" s="74"/>
      <c r="BN32" s="2"/>
      <c r="BQ32" s="6">
        <v>12</v>
      </c>
      <c r="BR32" s="11"/>
      <c r="BS32" s="15" t="s">
        <v>40</v>
      </c>
      <c r="BT32" s="15" t="s">
        <v>18</v>
      </c>
      <c r="BU32" s="15" t="s">
        <v>150</v>
      </c>
      <c r="BV32" s="19" t="s">
        <v>155</v>
      </c>
      <c r="BW32" s="76" t="s">
        <v>45</v>
      </c>
      <c r="BX32" s="93">
        <v>70000</v>
      </c>
      <c r="BY32">
        <v>54000</v>
      </c>
    </row>
    <row r="33" spans="2:77" ht="16.5" thickBot="1" x14ac:dyDescent="0.3">
      <c r="B33" s="222"/>
      <c r="C33" s="31"/>
      <c r="D33" s="21"/>
      <c r="E33" s="21"/>
      <c r="F33" s="36"/>
      <c r="J33" s="6">
        <v>30</v>
      </c>
      <c r="K33" s="16" t="s">
        <v>32</v>
      </c>
      <c r="L33" s="16" t="s">
        <v>56</v>
      </c>
      <c r="M33" s="16" t="s">
        <v>42</v>
      </c>
      <c r="N33" s="46" t="s">
        <v>44</v>
      </c>
      <c r="Q33" s="6"/>
      <c r="R33" s="12"/>
      <c r="S33" s="12"/>
      <c r="T33" s="12"/>
      <c r="U33" s="74"/>
      <c r="V33" s="2"/>
      <c r="W33" s="20"/>
      <c r="X33" s="60"/>
      <c r="Y33" s="60"/>
      <c r="Z33" s="6"/>
      <c r="AA33" s="12"/>
      <c r="AB33" s="12"/>
      <c r="AC33" s="12"/>
      <c r="AD33" s="74"/>
      <c r="AE33" s="2"/>
      <c r="AF33" s="20"/>
      <c r="AG33" s="60"/>
      <c r="AH33" s="60"/>
      <c r="AI33" s="6"/>
      <c r="AJ33" s="12"/>
      <c r="AK33" s="12"/>
      <c r="AL33" s="12"/>
      <c r="AM33" s="74"/>
      <c r="AN33" s="2"/>
      <c r="AO33" s="20"/>
      <c r="AP33" s="60"/>
      <c r="AQ33" s="60"/>
      <c r="AR33" s="6"/>
      <c r="AS33" s="12"/>
      <c r="AT33" s="12"/>
      <c r="AU33" s="12"/>
      <c r="AV33" s="74"/>
      <c r="AW33" s="2"/>
      <c r="AX33" s="20"/>
      <c r="AY33" s="60"/>
      <c r="AZ33" s="60"/>
      <c r="BA33" s="6"/>
      <c r="BB33" s="12"/>
      <c r="BC33" s="12"/>
      <c r="BD33" s="12"/>
      <c r="BE33" s="74"/>
      <c r="BF33" s="2"/>
      <c r="BG33" s="20"/>
      <c r="BH33" s="60"/>
      <c r="BI33" s="12"/>
      <c r="BJ33" s="12"/>
      <c r="BK33" s="12"/>
      <c r="BL33" s="12"/>
      <c r="BM33" s="74"/>
      <c r="BN33" s="2"/>
      <c r="BQ33" s="95"/>
      <c r="BR33" s="113"/>
      <c r="BS33" s="15"/>
      <c r="BT33" s="15"/>
      <c r="BU33" s="15"/>
      <c r="BV33" s="15"/>
      <c r="BW33" s="15"/>
      <c r="BX33" s="100"/>
      <c r="BY33">
        <v>54000</v>
      </c>
    </row>
    <row r="34" spans="2:77" ht="15.75" x14ac:dyDescent="0.25">
      <c r="B34" s="223" t="s">
        <v>82</v>
      </c>
      <c r="C34" s="28" t="e">
        <f>+#REF!</f>
        <v>#REF!</v>
      </c>
      <c r="D34" s="43">
        <v>95000</v>
      </c>
      <c r="E34" s="26"/>
      <c r="F34" s="34"/>
      <c r="J34" s="6">
        <v>31</v>
      </c>
      <c r="K34" s="16" t="s">
        <v>32</v>
      </c>
      <c r="L34" s="16" t="s">
        <v>56</v>
      </c>
      <c r="M34" s="16" t="s">
        <v>42</v>
      </c>
      <c r="N34" s="46" t="s">
        <v>44</v>
      </c>
      <c r="Q34" s="6"/>
      <c r="R34" s="12"/>
      <c r="S34" s="12"/>
      <c r="T34" s="12"/>
      <c r="U34" s="74"/>
      <c r="V34" s="2"/>
      <c r="W34" s="20"/>
      <c r="X34" s="60"/>
      <c r="Y34" s="60"/>
      <c r="Z34" s="6"/>
      <c r="AA34" s="12"/>
      <c r="AB34" s="12"/>
      <c r="AC34" s="12"/>
      <c r="AD34" s="74"/>
      <c r="AE34" s="2"/>
      <c r="AF34" s="20"/>
      <c r="AG34" s="60"/>
      <c r="AH34" s="60"/>
      <c r="AI34" s="6"/>
      <c r="AJ34" s="12"/>
      <c r="AK34" s="12"/>
      <c r="AL34" s="12"/>
      <c r="AM34" s="74"/>
      <c r="AN34" s="2"/>
      <c r="AO34" s="20"/>
      <c r="AP34" s="60"/>
      <c r="AQ34" s="60"/>
      <c r="AR34" s="6"/>
      <c r="AS34" s="12"/>
      <c r="AT34" s="12"/>
      <c r="AU34" s="12"/>
      <c r="AV34" s="74"/>
      <c r="AW34" s="2"/>
      <c r="AX34" s="20"/>
      <c r="AY34" s="60"/>
      <c r="AZ34" s="60"/>
      <c r="BA34" s="6"/>
      <c r="BB34" s="12"/>
      <c r="BC34" s="12"/>
      <c r="BD34" s="12"/>
      <c r="BE34" s="74"/>
      <c r="BF34" s="2"/>
      <c r="BG34" s="20"/>
      <c r="BH34" s="60"/>
      <c r="BI34" s="12"/>
      <c r="BJ34" s="12"/>
      <c r="BK34" s="12"/>
      <c r="BL34" s="12"/>
      <c r="BM34" s="74"/>
      <c r="BN34" s="2"/>
      <c r="BQ34" s="95"/>
      <c r="BR34" s="113"/>
      <c r="BS34" s="15"/>
      <c r="BT34" s="15"/>
      <c r="BU34" s="15"/>
      <c r="BV34" s="15"/>
      <c r="BW34" s="15"/>
      <c r="BX34" s="100"/>
    </row>
    <row r="35" spans="2:77" ht="16.5" thickBot="1" x14ac:dyDescent="0.3">
      <c r="B35" s="224"/>
      <c r="C35" s="29" t="s">
        <v>24</v>
      </c>
      <c r="D35" s="27">
        <v>95000</v>
      </c>
      <c r="E35" s="2"/>
      <c r="F35" s="35"/>
      <c r="J35" s="23">
        <v>32</v>
      </c>
      <c r="K35" s="48">
        <v>4</v>
      </c>
      <c r="L35" s="48" t="s">
        <v>40</v>
      </c>
      <c r="M35" s="48" t="s">
        <v>42</v>
      </c>
      <c r="N35" s="49" t="s">
        <v>44</v>
      </c>
      <c r="Q35" s="6"/>
      <c r="R35" s="12"/>
      <c r="S35" s="12"/>
      <c r="T35" s="12"/>
      <c r="U35" s="74"/>
      <c r="V35" s="2"/>
      <c r="W35" s="20"/>
      <c r="X35" s="60"/>
      <c r="Y35" s="60"/>
      <c r="Z35" s="6"/>
      <c r="AA35" s="12"/>
      <c r="AB35" s="12"/>
      <c r="AC35" s="12"/>
      <c r="AD35" s="74"/>
      <c r="AE35" s="2"/>
      <c r="AF35" s="20"/>
      <c r="AG35" s="60"/>
      <c r="AH35" s="60"/>
      <c r="AI35" s="6"/>
      <c r="AJ35" s="12"/>
      <c r="AK35" s="12"/>
      <c r="AL35" s="12"/>
      <c r="AM35" s="74"/>
      <c r="AN35" s="2"/>
      <c r="AO35" s="20"/>
      <c r="AP35" s="60"/>
      <c r="AQ35" s="60"/>
      <c r="AR35" s="6"/>
      <c r="AS35" s="12"/>
      <c r="AT35" s="12"/>
      <c r="AU35" s="12"/>
      <c r="AV35" s="74"/>
      <c r="AW35" s="2"/>
      <c r="AX35" s="20"/>
      <c r="AY35" s="60"/>
      <c r="AZ35" s="60"/>
      <c r="BA35" s="6"/>
      <c r="BB35" s="12"/>
      <c r="BC35" s="12"/>
      <c r="BD35" s="12"/>
      <c r="BE35" s="74"/>
      <c r="BF35" s="2"/>
      <c r="BG35" s="20"/>
      <c r="BH35" s="60"/>
      <c r="BI35" s="12"/>
      <c r="BJ35" s="12"/>
      <c r="BK35" s="12"/>
      <c r="BL35" s="12"/>
      <c r="BM35" s="74"/>
      <c r="BN35" s="2"/>
      <c r="BQ35" s="95"/>
      <c r="BR35" s="113"/>
      <c r="BS35" s="15"/>
      <c r="BT35" s="15"/>
      <c r="BU35" s="15"/>
      <c r="BV35" s="15"/>
      <c r="BW35" s="15"/>
      <c r="BX35" s="100"/>
    </row>
    <row r="36" spans="2:77" ht="15.75" x14ac:dyDescent="0.25">
      <c r="B36" s="224"/>
      <c r="C36" s="29" t="s">
        <v>51</v>
      </c>
      <c r="D36" s="27">
        <v>95000</v>
      </c>
      <c r="E36" s="2"/>
      <c r="F36" s="35"/>
      <c r="J36" s="5">
        <v>33</v>
      </c>
      <c r="K36" s="41">
        <v>4</v>
      </c>
      <c r="L36" s="41" t="s">
        <v>40</v>
      </c>
      <c r="M36" s="62" t="s">
        <v>42</v>
      </c>
      <c r="N36" s="63" t="s">
        <v>44</v>
      </c>
      <c r="Q36" s="6"/>
      <c r="R36" s="12"/>
      <c r="S36" s="12"/>
      <c r="T36" s="12"/>
      <c r="U36" s="74"/>
      <c r="V36" s="2"/>
      <c r="W36" s="20"/>
      <c r="X36" s="60"/>
      <c r="Y36" s="60"/>
      <c r="Z36" s="6"/>
      <c r="AA36" s="12"/>
      <c r="AB36" s="12"/>
      <c r="AC36" s="12"/>
      <c r="AD36" s="74"/>
      <c r="AE36" s="2"/>
      <c r="AF36" s="20"/>
      <c r="AG36" s="60"/>
      <c r="AH36" s="60"/>
      <c r="AI36" s="6"/>
      <c r="AJ36" s="12"/>
      <c r="AK36" s="12"/>
      <c r="AL36" s="12"/>
      <c r="AM36" s="74"/>
      <c r="AN36" s="2"/>
      <c r="AO36" s="20"/>
      <c r="AP36" s="60"/>
      <c r="AQ36" s="60"/>
      <c r="AR36" s="6"/>
      <c r="AS36" s="12"/>
      <c r="AT36" s="12"/>
      <c r="AU36" s="12"/>
      <c r="AV36" s="74"/>
      <c r="AW36" s="2"/>
      <c r="AX36" s="20"/>
      <c r="AY36" s="60"/>
      <c r="AZ36" s="60"/>
      <c r="BA36" s="6"/>
      <c r="BB36" s="12"/>
      <c r="BC36" s="12"/>
      <c r="BD36" s="12"/>
      <c r="BE36" s="74"/>
      <c r="BF36" s="2"/>
      <c r="BG36" s="20"/>
      <c r="BH36" s="60"/>
      <c r="BI36" s="12"/>
      <c r="BJ36" s="12"/>
      <c r="BK36" s="12"/>
      <c r="BL36" s="12"/>
      <c r="BM36" s="74"/>
      <c r="BN36" s="2"/>
      <c r="BQ36" s="95"/>
      <c r="BR36" s="113"/>
      <c r="BS36" s="15"/>
      <c r="BT36" s="15"/>
      <c r="BU36" s="15"/>
      <c r="BV36" s="15"/>
      <c r="BW36" s="15"/>
      <c r="BX36" s="100"/>
    </row>
    <row r="37" spans="2:77" ht="16.5" thickBot="1" x14ac:dyDescent="0.3">
      <c r="B37" s="224"/>
      <c r="C37" s="29" t="s">
        <v>50</v>
      </c>
      <c r="D37" s="27">
        <v>95000</v>
      </c>
      <c r="E37" s="2"/>
      <c r="F37" s="35"/>
      <c r="J37" s="6">
        <v>34</v>
      </c>
      <c r="K37" s="16">
        <v>6</v>
      </c>
      <c r="L37" s="16" t="s">
        <v>40</v>
      </c>
      <c r="M37" s="16" t="s">
        <v>100</v>
      </c>
      <c r="N37" s="69" t="s">
        <v>101</v>
      </c>
      <c r="Q37" s="6"/>
      <c r="R37" s="12"/>
      <c r="S37" s="12"/>
      <c r="T37" s="12"/>
      <c r="U37" s="74"/>
      <c r="V37" s="2"/>
      <c r="W37" s="20"/>
      <c r="X37" s="60"/>
      <c r="Y37" s="60"/>
      <c r="Z37" s="6"/>
      <c r="AA37" s="12"/>
      <c r="AB37" s="12"/>
      <c r="AC37" s="12"/>
      <c r="AD37" s="74"/>
      <c r="AE37" s="2"/>
      <c r="AF37" s="20"/>
      <c r="AG37" s="60"/>
      <c r="AH37" s="60"/>
      <c r="AI37" s="6"/>
      <c r="AJ37" s="12"/>
      <c r="AK37" s="12"/>
      <c r="AL37" s="12"/>
      <c r="AM37" s="74"/>
      <c r="AN37" s="2"/>
      <c r="AO37" s="20"/>
      <c r="AP37" s="60"/>
      <c r="AQ37" s="60"/>
      <c r="AR37" s="6"/>
      <c r="AS37" s="12"/>
      <c r="AT37" s="12"/>
      <c r="AU37" s="12"/>
      <c r="AV37" s="74"/>
      <c r="AW37" s="2"/>
      <c r="AX37" s="20"/>
      <c r="AY37" s="60"/>
      <c r="AZ37" s="60"/>
      <c r="BA37" s="6"/>
      <c r="BB37" s="12"/>
      <c r="BC37" s="12"/>
      <c r="BD37" s="12"/>
      <c r="BE37" s="74"/>
      <c r="BF37" s="2"/>
      <c r="BG37" s="20"/>
      <c r="BH37" s="60"/>
      <c r="BI37" s="12"/>
      <c r="BJ37" s="12"/>
      <c r="BK37" s="12"/>
      <c r="BL37" s="12"/>
      <c r="BM37" s="12"/>
      <c r="BN37" s="2"/>
      <c r="BQ37" s="101"/>
      <c r="BR37" s="116"/>
      <c r="BS37" s="102"/>
      <c r="BT37" s="102"/>
      <c r="BU37" s="102"/>
      <c r="BV37" s="102"/>
      <c r="BW37" s="102"/>
      <c r="BX37" s="103"/>
    </row>
    <row r="38" spans="2:77" ht="15.75" x14ac:dyDescent="0.25">
      <c r="B38" s="224"/>
      <c r="C38" s="29" t="s">
        <v>54</v>
      </c>
      <c r="D38" s="27">
        <v>95000</v>
      </c>
      <c r="E38" s="2"/>
      <c r="F38" s="35"/>
      <c r="J38" s="6">
        <v>35</v>
      </c>
      <c r="K38" s="16">
        <v>8</v>
      </c>
      <c r="L38" s="16" t="s">
        <v>40</v>
      </c>
      <c r="M38" s="16" t="s">
        <v>91</v>
      </c>
      <c r="N38" s="49" t="s">
        <v>44</v>
      </c>
      <c r="Q38" s="6"/>
      <c r="R38" s="12"/>
      <c r="S38" s="12"/>
      <c r="T38" s="12"/>
      <c r="U38" s="74"/>
      <c r="V38" s="2"/>
      <c r="W38" s="20"/>
      <c r="X38" s="60"/>
      <c r="Y38" s="60"/>
      <c r="Z38" s="6"/>
      <c r="AA38" s="12"/>
      <c r="AB38" s="12"/>
      <c r="AC38" s="12"/>
      <c r="AD38" s="74"/>
      <c r="AE38" s="2"/>
      <c r="AF38" s="20"/>
      <c r="AG38" s="60"/>
      <c r="AH38" s="60"/>
      <c r="AI38" s="6"/>
      <c r="AJ38" s="12"/>
      <c r="AK38" s="12"/>
      <c r="AL38" s="12"/>
      <c r="AM38" s="74"/>
      <c r="AN38" s="2"/>
      <c r="AO38" s="20"/>
      <c r="AP38" s="60"/>
      <c r="AQ38" s="60"/>
      <c r="AR38" s="6"/>
      <c r="AS38" s="12"/>
      <c r="AT38" s="12"/>
      <c r="AU38" s="12"/>
      <c r="AV38" s="74"/>
      <c r="AW38" s="2"/>
      <c r="AX38" s="20"/>
      <c r="AY38" s="60"/>
      <c r="AZ38" s="60"/>
      <c r="BA38" s="6"/>
      <c r="BB38" s="12"/>
      <c r="BC38" s="12"/>
      <c r="BD38" s="12"/>
      <c r="BE38" s="74"/>
      <c r="BF38" s="2"/>
      <c r="BG38" s="20"/>
      <c r="BH38" s="60"/>
      <c r="BI38" s="12"/>
      <c r="BJ38" s="12"/>
      <c r="BK38" s="12"/>
      <c r="BL38" s="12"/>
      <c r="BM38" s="74"/>
      <c r="BN38" s="2"/>
    </row>
    <row r="39" spans="2:77" ht="15.75" x14ac:dyDescent="0.25">
      <c r="B39" s="224"/>
      <c r="C39" s="29" t="s">
        <v>55</v>
      </c>
      <c r="D39" s="27">
        <v>95000</v>
      </c>
      <c r="E39" s="2"/>
      <c r="F39" s="35"/>
      <c r="J39" s="6">
        <v>36</v>
      </c>
      <c r="K39" s="16">
        <v>8</v>
      </c>
      <c r="L39" s="16" t="s">
        <v>40</v>
      </c>
      <c r="M39" s="16" t="s">
        <v>173</v>
      </c>
      <c r="N39" s="49" t="s">
        <v>44</v>
      </c>
      <c r="Q39" s="6"/>
      <c r="R39" s="12"/>
      <c r="S39" s="12"/>
      <c r="T39" s="12"/>
      <c r="U39" s="74"/>
      <c r="V39" s="2"/>
      <c r="W39" s="20"/>
      <c r="X39" s="60"/>
      <c r="Y39" s="60"/>
      <c r="Z39" s="6"/>
      <c r="AA39" s="12"/>
      <c r="AB39" s="12"/>
      <c r="AC39" s="12"/>
      <c r="AD39" s="74"/>
      <c r="AE39" s="2"/>
      <c r="AF39" s="20"/>
      <c r="AG39" s="60"/>
      <c r="AH39" s="60"/>
      <c r="AI39" s="6"/>
      <c r="AJ39" s="12"/>
      <c r="AK39" s="12"/>
      <c r="AL39" s="12"/>
      <c r="AM39" s="74"/>
      <c r="AN39" s="2"/>
      <c r="AO39" s="20"/>
      <c r="AP39" s="60"/>
      <c r="AQ39" s="60"/>
      <c r="AR39" s="6"/>
      <c r="AS39" s="12"/>
      <c r="AT39" s="12"/>
      <c r="AU39" s="12"/>
      <c r="AV39" s="74"/>
      <c r="AW39" s="2"/>
      <c r="AX39" s="20"/>
      <c r="AY39" s="60"/>
      <c r="AZ39" s="60"/>
      <c r="BA39" s="6"/>
      <c r="BB39" s="12"/>
      <c r="BC39" s="12"/>
      <c r="BD39" s="12"/>
      <c r="BE39" s="74"/>
      <c r="BF39" s="2"/>
      <c r="BG39" s="20"/>
      <c r="BH39" s="60"/>
      <c r="BI39" s="12"/>
      <c r="BJ39" s="12"/>
      <c r="BK39" s="12"/>
      <c r="BL39" s="12"/>
      <c r="BM39" s="74"/>
      <c r="BN39" s="2"/>
      <c r="BT39">
        <v>3</v>
      </c>
    </row>
    <row r="40" spans="2:77" ht="16.5" thickBot="1" x14ac:dyDescent="0.3">
      <c r="B40" s="224"/>
      <c r="C40" s="29" t="s">
        <v>58</v>
      </c>
      <c r="D40" s="27">
        <v>95000</v>
      </c>
      <c r="E40" s="2"/>
      <c r="F40" s="35"/>
      <c r="J40" s="6">
        <v>37</v>
      </c>
      <c r="K40" s="16">
        <v>10</v>
      </c>
      <c r="L40" s="16" t="s">
        <v>40</v>
      </c>
      <c r="M40" s="48" t="s">
        <v>42</v>
      </c>
      <c r="N40" s="49" t="s">
        <v>44</v>
      </c>
      <c r="Q40" s="6"/>
      <c r="R40" s="12"/>
      <c r="S40" s="12"/>
      <c r="T40" s="12"/>
      <c r="U40" s="74"/>
      <c r="V40" s="2"/>
      <c r="W40" s="20"/>
      <c r="X40" s="60"/>
      <c r="Y40" s="60"/>
      <c r="Z40" s="6"/>
      <c r="AA40" s="12"/>
      <c r="AB40" s="12"/>
      <c r="AC40" s="12"/>
      <c r="AD40" s="74"/>
      <c r="AE40" s="2"/>
      <c r="AF40" s="20"/>
      <c r="AG40" s="60"/>
      <c r="AH40" s="60"/>
      <c r="AI40" s="6"/>
      <c r="AJ40" s="12"/>
      <c r="AK40" s="12"/>
      <c r="AL40" s="12"/>
      <c r="AM40" s="74"/>
      <c r="AN40" s="2"/>
      <c r="AO40" s="20"/>
      <c r="AP40" s="60"/>
      <c r="AQ40" s="60"/>
      <c r="AR40" s="6"/>
      <c r="AS40" s="12"/>
      <c r="AT40" s="12"/>
      <c r="AU40" s="12"/>
      <c r="AV40" s="74"/>
      <c r="AW40" s="2"/>
      <c r="AX40" s="20"/>
      <c r="AY40" s="60"/>
      <c r="AZ40" s="60"/>
      <c r="BA40" s="6"/>
      <c r="BB40" s="12"/>
      <c r="BC40" s="12"/>
      <c r="BD40" s="12"/>
      <c r="BE40" s="74"/>
      <c r="BF40" s="2"/>
      <c r="BG40" s="20"/>
      <c r="BH40" s="60"/>
      <c r="BI40" s="12"/>
      <c r="BJ40" s="12"/>
      <c r="BK40" s="12"/>
      <c r="BL40" s="12"/>
      <c r="BM40" s="74"/>
      <c r="BN40" s="2"/>
    </row>
    <row r="41" spans="2:77" ht="30.75" thickBot="1" x14ac:dyDescent="0.3">
      <c r="B41" s="224"/>
      <c r="C41" s="29" t="s">
        <v>53</v>
      </c>
      <c r="D41" s="27">
        <v>95000</v>
      </c>
      <c r="E41" s="2"/>
      <c r="F41" s="35"/>
      <c r="J41" s="6">
        <v>38</v>
      </c>
      <c r="K41" s="16">
        <v>10</v>
      </c>
      <c r="L41" s="16" t="s">
        <v>40</v>
      </c>
      <c r="M41" s="48" t="s">
        <v>42</v>
      </c>
      <c r="N41" s="49" t="s">
        <v>44</v>
      </c>
      <c r="Q41" s="6"/>
      <c r="R41" s="12"/>
      <c r="S41" s="12"/>
      <c r="T41" s="12"/>
      <c r="U41" s="74"/>
      <c r="V41" s="2"/>
      <c r="W41" s="72"/>
      <c r="X41" s="60"/>
      <c r="Y41" s="60"/>
      <c r="Z41" s="6"/>
      <c r="AA41" s="12"/>
      <c r="AB41" s="12"/>
      <c r="AC41" s="12"/>
      <c r="AD41" s="74"/>
      <c r="AE41" s="2"/>
      <c r="AF41" s="72"/>
      <c r="AG41" s="60"/>
      <c r="AH41" s="60"/>
      <c r="AI41" s="6"/>
      <c r="AJ41" s="12"/>
      <c r="AK41" s="12"/>
      <c r="AL41" s="12"/>
      <c r="AM41" s="74"/>
      <c r="AN41" s="2"/>
      <c r="AO41" s="72"/>
      <c r="AP41" s="60"/>
      <c r="AQ41" s="60"/>
      <c r="AR41" s="6"/>
      <c r="AS41" s="12"/>
      <c r="AT41" s="12"/>
      <c r="AU41" s="12"/>
      <c r="AV41" s="74"/>
      <c r="AW41" s="2"/>
      <c r="AX41" s="72"/>
      <c r="BA41" s="6"/>
      <c r="BB41" s="12"/>
      <c r="BC41" s="12"/>
      <c r="BD41" s="12"/>
      <c r="BE41" s="74"/>
      <c r="BF41" s="2"/>
      <c r="BG41" s="72"/>
      <c r="BH41" s="1"/>
      <c r="BI41" s="12"/>
      <c r="BJ41" s="12"/>
      <c r="BK41" s="12"/>
      <c r="BL41" s="12"/>
      <c r="BM41" s="74"/>
      <c r="BN41" s="2"/>
      <c r="BQ41" s="8"/>
      <c r="BR41" s="8"/>
      <c r="BS41" s="104" t="s">
        <v>83</v>
      </c>
      <c r="BT41" s="104" t="s">
        <v>22</v>
      </c>
      <c r="BU41" s="104" t="s">
        <v>23</v>
      </c>
      <c r="BV41" s="104" t="s">
        <v>112</v>
      </c>
      <c r="BW41" s="75" t="s">
        <v>113</v>
      </c>
      <c r="BX41" s="75" t="s">
        <v>114</v>
      </c>
    </row>
    <row r="42" spans="2:77" ht="15.75" x14ac:dyDescent="0.25">
      <c r="B42" s="224"/>
      <c r="C42" s="29" t="s">
        <v>60</v>
      </c>
      <c r="D42" s="27">
        <v>95000</v>
      </c>
      <c r="E42" s="2"/>
      <c r="F42" s="35"/>
      <c r="J42" s="6">
        <v>39</v>
      </c>
      <c r="K42" s="16">
        <v>12</v>
      </c>
      <c r="L42" s="16" t="s">
        <v>40</v>
      </c>
      <c r="M42" s="16" t="s">
        <v>105</v>
      </c>
      <c r="N42" s="49" t="s">
        <v>44</v>
      </c>
      <c r="Q42" s="6"/>
      <c r="R42" s="12"/>
      <c r="S42" s="12"/>
      <c r="T42" s="12"/>
      <c r="U42" s="74"/>
      <c r="V42" s="2"/>
      <c r="W42" s="72"/>
      <c r="X42" s="60"/>
      <c r="Y42" s="60"/>
      <c r="Z42" s="6"/>
      <c r="AA42" s="12"/>
      <c r="AB42" s="12"/>
      <c r="AC42" s="12"/>
      <c r="AD42" s="74"/>
      <c r="AE42" s="2"/>
      <c r="AF42" s="72"/>
      <c r="AG42" s="60"/>
      <c r="AH42" s="60"/>
      <c r="AI42" s="6"/>
      <c r="AJ42" s="12"/>
      <c r="AK42" s="12"/>
      <c r="AL42" s="12"/>
      <c r="AM42" s="74"/>
      <c r="AN42" s="2"/>
      <c r="AO42" s="72"/>
      <c r="AP42" s="60"/>
      <c r="AQ42" s="60"/>
      <c r="AR42" s="6"/>
      <c r="AS42" s="12"/>
      <c r="AT42" s="12"/>
      <c r="AU42" s="12"/>
      <c r="AV42" s="74"/>
      <c r="AW42" s="2"/>
      <c r="AX42" s="72"/>
      <c r="BA42" s="6"/>
      <c r="BB42" s="12"/>
      <c r="BC42" s="12"/>
      <c r="BD42" s="12"/>
      <c r="BE42" s="74"/>
      <c r="BF42" s="2"/>
      <c r="BG42" s="72"/>
      <c r="BH42" s="1"/>
      <c r="BI42" s="12"/>
      <c r="BJ42" s="12"/>
      <c r="BK42" s="12"/>
      <c r="BL42" s="12"/>
      <c r="BM42" s="74"/>
      <c r="BN42" s="2"/>
      <c r="BQ42" s="105" t="s">
        <v>167</v>
      </c>
      <c r="BR42" s="117"/>
      <c r="BS42" s="107">
        <v>3</v>
      </c>
      <c r="BT42" s="108" t="s">
        <v>18</v>
      </c>
      <c r="BU42" s="108" t="s">
        <v>164</v>
      </c>
      <c r="BV42" s="109" t="s">
        <v>165</v>
      </c>
    </row>
    <row r="43" spans="2:77" ht="16.5" thickBot="1" x14ac:dyDescent="0.3">
      <c r="B43" s="224"/>
      <c r="C43" s="29" t="s">
        <v>61</v>
      </c>
      <c r="D43" s="27">
        <v>85000</v>
      </c>
      <c r="E43" s="2"/>
      <c r="F43" s="35"/>
      <c r="J43" s="6">
        <v>40</v>
      </c>
      <c r="K43" s="16" t="s">
        <v>32</v>
      </c>
      <c r="L43" s="16" t="s">
        <v>56</v>
      </c>
      <c r="M43" s="16" t="s">
        <v>286</v>
      </c>
      <c r="N43" s="49" t="s">
        <v>44</v>
      </c>
      <c r="Q43" s="6"/>
      <c r="R43" s="12"/>
      <c r="S43" s="12"/>
      <c r="T43" s="12"/>
      <c r="U43" s="74"/>
      <c r="V43" s="2"/>
      <c r="W43" s="72"/>
      <c r="X43" s="60"/>
      <c r="Y43" s="60"/>
      <c r="Z43" s="6"/>
      <c r="AA43" s="12"/>
      <c r="AB43" s="12"/>
      <c r="AC43" s="12"/>
      <c r="AD43" s="74"/>
      <c r="AE43" s="2"/>
      <c r="AF43" s="72"/>
      <c r="AG43" s="60"/>
      <c r="AH43" s="60"/>
      <c r="AI43" s="6"/>
      <c r="AJ43" s="12"/>
      <c r="AK43" s="12"/>
      <c r="AL43" s="12"/>
      <c r="AM43" s="74"/>
      <c r="AN43" s="2"/>
      <c r="AO43" s="72"/>
      <c r="AP43" s="60"/>
      <c r="AQ43" s="60"/>
      <c r="AR43" s="6"/>
      <c r="AS43" s="12"/>
      <c r="AT43" s="12"/>
      <c r="AU43" s="12"/>
      <c r="AV43" s="74"/>
      <c r="AW43" s="2"/>
      <c r="AX43" s="72"/>
      <c r="BA43" s="6"/>
      <c r="BB43" s="12"/>
      <c r="BC43" s="12"/>
      <c r="BD43" s="12"/>
      <c r="BE43" s="74"/>
      <c r="BF43" s="2"/>
      <c r="BG43" s="72"/>
      <c r="BH43" s="1"/>
      <c r="BI43" s="12"/>
      <c r="BJ43" s="12"/>
      <c r="BK43" s="12"/>
      <c r="BL43" s="12"/>
      <c r="BM43" s="12"/>
      <c r="BN43" s="2"/>
      <c r="BQ43" s="106" t="s">
        <v>168</v>
      </c>
      <c r="BR43" s="118"/>
      <c r="BS43" s="101">
        <v>3</v>
      </c>
      <c r="BT43" s="102" t="s">
        <v>18</v>
      </c>
      <c r="BU43" s="102" t="s">
        <v>164</v>
      </c>
      <c r="BV43" s="103" t="s">
        <v>166</v>
      </c>
      <c r="BW43" s="8" t="s">
        <v>45</v>
      </c>
    </row>
    <row r="44" spans="2:77" ht="15.75" x14ac:dyDescent="0.25">
      <c r="B44" s="224"/>
      <c r="C44" s="29" t="s">
        <v>67</v>
      </c>
      <c r="D44" s="27">
        <v>85000</v>
      </c>
      <c r="E44" s="2"/>
      <c r="F44" s="35"/>
      <c r="J44" s="6">
        <v>41</v>
      </c>
      <c r="K44" s="16" t="s">
        <v>32</v>
      </c>
      <c r="L44" s="16" t="s">
        <v>19</v>
      </c>
      <c r="M44" s="48" t="s">
        <v>42</v>
      </c>
      <c r="N44" s="49" t="s">
        <v>44</v>
      </c>
      <c r="Q44" s="6"/>
      <c r="R44" s="12"/>
      <c r="S44" s="12"/>
      <c r="T44" s="12"/>
      <c r="U44" s="74"/>
      <c r="V44" s="2"/>
      <c r="W44" s="72"/>
      <c r="X44" s="60"/>
      <c r="Y44" s="60"/>
      <c r="Z44" s="6"/>
      <c r="AA44" s="12"/>
      <c r="AB44" s="12"/>
      <c r="AC44" s="12"/>
      <c r="AD44" s="74"/>
      <c r="AE44" s="2"/>
      <c r="AF44" s="72"/>
      <c r="AG44" s="60"/>
      <c r="AH44" s="60"/>
      <c r="AI44" s="6"/>
      <c r="AJ44" s="12"/>
      <c r="AK44" s="12"/>
      <c r="AL44" s="12"/>
      <c r="AM44" s="74"/>
      <c r="AN44" s="2"/>
      <c r="AO44" s="72"/>
      <c r="AP44" s="60"/>
      <c r="AQ44" s="60"/>
      <c r="AR44" s="6"/>
      <c r="AS44" s="12"/>
      <c r="AT44" s="12"/>
      <c r="AU44" s="12"/>
      <c r="AV44" s="74"/>
      <c r="AW44" s="2"/>
      <c r="AX44" s="72"/>
      <c r="BA44" s="6"/>
      <c r="BB44" s="12"/>
      <c r="BC44" s="12"/>
      <c r="BD44" s="12"/>
      <c r="BE44" s="74"/>
      <c r="BF44" s="2"/>
      <c r="BG44" s="72"/>
      <c r="BH44" s="1"/>
      <c r="BI44" s="12"/>
      <c r="BJ44" s="12"/>
      <c r="BK44" s="12"/>
      <c r="BL44" s="12"/>
      <c r="BM44" s="74"/>
      <c r="BN44" s="2"/>
    </row>
    <row r="45" spans="2:77" ht="15.75" x14ac:dyDescent="0.25">
      <c r="B45" s="224"/>
      <c r="C45" s="29" t="s">
        <v>74</v>
      </c>
      <c r="D45" s="27">
        <v>85000</v>
      </c>
      <c r="E45" s="2"/>
      <c r="F45" s="35"/>
      <c r="J45" s="6">
        <v>42</v>
      </c>
      <c r="K45" s="16" t="s">
        <v>19</v>
      </c>
      <c r="L45" s="16" t="s">
        <v>56</v>
      </c>
      <c r="M45" s="48" t="s">
        <v>42</v>
      </c>
      <c r="N45" s="49" t="s">
        <v>44</v>
      </c>
      <c r="Q45" s="6"/>
      <c r="R45" s="12"/>
      <c r="S45" s="12"/>
      <c r="T45" s="12"/>
      <c r="U45" s="74"/>
      <c r="V45" s="2"/>
      <c r="W45" s="20"/>
      <c r="X45" s="60"/>
      <c r="Y45" s="60"/>
      <c r="Z45" s="6"/>
      <c r="AA45" s="12"/>
      <c r="AB45" s="12"/>
      <c r="AC45" s="12"/>
      <c r="AD45" s="74"/>
      <c r="AE45" s="2"/>
      <c r="AF45" s="20"/>
      <c r="AG45" s="60"/>
      <c r="AH45" s="60"/>
      <c r="AI45" s="6"/>
      <c r="AJ45" s="12"/>
      <c r="AK45" s="12"/>
      <c r="AL45" s="12"/>
      <c r="AM45" s="74"/>
      <c r="AN45" s="2"/>
      <c r="AO45" s="20"/>
      <c r="AP45" s="60"/>
      <c r="AQ45" s="60"/>
      <c r="AR45" s="6"/>
      <c r="AS45" s="12"/>
      <c r="AT45" s="12"/>
      <c r="AU45" s="12"/>
      <c r="AV45" s="74"/>
      <c r="AW45" s="2"/>
      <c r="AX45" s="20"/>
      <c r="AY45" s="60"/>
      <c r="AZ45" s="60"/>
      <c r="BA45" s="6"/>
      <c r="BB45" s="12"/>
      <c r="BC45" s="12"/>
      <c r="BD45" s="12"/>
      <c r="BE45" s="74"/>
      <c r="BF45" s="2"/>
      <c r="BG45" s="20"/>
      <c r="BH45" s="60"/>
      <c r="BI45" s="12"/>
      <c r="BJ45" s="12"/>
      <c r="BK45" s="12"/>
      <c r="BL45" s="12"/>
      <c r="BM45" s="74"/>
      <c r="BN45" s="2"/>
    </row>
    <row r="46" spans="2:77" ht="16.5" thickBot="1" x14ac:dyDescent="0.3">
      <c r="B46" s="224"/>
      <c r="C46" s="29" t="s">
        <v>79</v>
      </c>
      <c r="D46" s="27">
        <v>85000</v>
      </c>
      <c r="E46" s="2"/>
      <c r="F46" s="35"/>
      <c r="J46" s="23">
        <v>43</v>
      </c>
      <c r="K46" s="48">
        <v>4</v>
      </c>
      <c r="L46" s="48" t="s">
        <v>84</v>
      </c>
      <c r="M46" s="48" t="s">
        <v>85</v>
      </c>
      <c r="N46" s="49" t="s">
        <v>44</v>
      </c>
      <c r="Q46" s="6"/>
      <c r="R46" s="12"/>
      <c r="S46" s="12"/>
      <c r="T46" s="12"/>
      <c r="U46" s="12"/>
      <c r="V46" s="2"/>
      <c r="W46" s="20"/>
      <c r="X46" s="60"/>
      <c r="Y46" s="60"/>
      <c r="Z46" s="6"/>
      <c r="AA46" s="12"/>
      <c r="AB46" s="12"/>
      <c r="AC46" s="12"/>
      <c r="AD46" s="12"/>
      <c r="AE46" s="2"/>
      <c r="AF46" s="20"/>
      <c r="AG46" s="60"/>
      <c r="AH46" s="60"/>
      <c r="AI46" s="6"/>
      <c r="AJ46" s="12"/>
      <c r="AK46" s="12"/>
      <c r="AL46" s="12"/>
      <c r="AM46" s="12"/>
      <c r="AN46" s="2"/>
      <c r="AO46" s="20"/>
      <c r="AP46" s="60"/>
      <c r="AQ46" s="60"/>
      <c r="AR46" s="6"/>
      <c r="AS46" s="12"/>
      <c r="AT46" s="12"/>
      <c r="AU46" s="12"/>
      <c r="AV46" s="12"/>
      <c r="AW46" s="2"/>
      <c r="AX46" s="20"/>
      <c r="AY46" s="60"/>
      <c r="AZ46" s="60"/>
      <c r="BA46" s="6"/>
      <c r="BB46" s="12"/>
      <c r="BC46" s="12"/>
      <c r="BD46" s="12"/>
      <c r="BE46" s="12"/>
      <c r="BF46" s="2"/>
      <c r="BG46" s="20"/>
      <c r="BH46" s="60"/>
      <c r="BI46" s="12"/>
      <c r="BJ46" s="12"/>
      <c r="BK46" s="12"/>
      <c r="BL46" s="12"/>
      <c r="BM46" s="74"/>
      <c r="BN46" s="2"/>
    </row>
    <row r="47" spans="2:77" x14ac:dyDescent="0.25">
      <c r="B47" s="224"/>
      <c r="C47" s="29" t="s">
        <v>88</v>
      </c>
      <c r="D47" s="27">
        <v>85000</v>
      </c>
      <c r="E47" s="2"/>
      <c r="F47" s="35"/>
      <c r="J47" s="5">
        <v>44</v>
      </c>
      <c r="K47" s="66">
        <v>10</v>
      </c>
      <c r="L47" s="66" t="s">
        <v>40</v>
      </c>
      <c r="M47" s="16" t="s">
        <v>109</v>
      </c>
      <c r="N47" s="69" t="s">
        <v>110</v>
      </c>
      <c r="Q47" s="6"/>
      <c r="R47" s="12"/>
      <c r="S47" s="12"/>
      <c r="T47" s="12"/>
      <c r="U47" s="12"/>
      <c r="V47" s="2"/>
      <c r="W47" s="20"/>
      <c r="X47" s="60"/>
      <c r="Y47" s="60"/>
      <c r="Z47" s="6"/>
      <c r="AA47" s="12"/>
      <c r="AB47" s="12"/>
      <c r="AC47" s="12"/>
      <c r="AD47" s="12"/>
      <c r="AE47" s="2"/>
      <c r="AF47" s="20"/>
      <c r="AG47" s="60"/>
      <c r="AH47" s="60"/>
      <c r="AI47" s="6"/>
      <c r="AJ47" s="12"/>
      <c r="AK47" s="12"/>
      <c r="AL47" s="12"/>
      <c r="AM47" s="12"/>
      <c r="AN47" s="2"/>
      <c r="AO47" s="20"/>
      <c r="AP47" s="60"/>
      <c r="AQ47" s="60"/>
      <c r="AR47" s="6"/>
      <c r="AS47" s="12"/>
      <c r="AT47" s="12"/>
      <c r="AU47" s="12"/>
      <c r="AV47" s="12"/>
      <c r="AW47" s="2"/>
      <c r="AX47" s="20"/>
      <c r="AY47" s="60"/>
      <c r="AZ47" s="60"/>
      <c r="BA47" s="6"/>
      <c r="BB47" s="12"/>
      <c r="BC47" s="12"/>
      <c r="BD47" s="12"/>
      <c r="BE47" s="12"/>
      <c r="BF47" s="2"/>
      <c r="BG47" s="20"/>
      <c r="BH47" s="60"/>
      <c r="BI47" s="12"/>
      <c r="BJ47" s="12"/>
      <c r="BK47" s="12"/>
      <c r="BL47" s="12"/>
      <c r="BM47" s="12"/>
      <c r="BN47" s="2"/>
    </row>
    <row r="48" spans="2:77" x14ac:dyDescent="0.25">
      <c r="B48" s="224"/>
      <c r="C48" s="29" t="s">
        <v>90</v>
      </c>
      <c r="D48" s="27">
        <v>85000</v>
      </c>
      <c r="E48" s="2"/>
      <c r="F48" s="35"/>
      <c r="J48" s="6">
        <v>45</v>
      </c>
      <c r="K48" s="66">
        <v>16</v>
      </c>
      <c r="L48" s="66" t="s">
        <v>40</v>
      </c>
      <c r="M48" s="16" t="s">
        <v>102</v>
      </c>
      <c r="N48" s="69"/>
      <c r="Q48" s="6"/>
      <c r="R48" s="12"/>
      <c r="S48" s="12"/>
      <c r="T48" s="12"/>
      <c r="U48" s="12"/>
      <c r="V48" s="2"/>
      <c r="W48" s="20"/>
      <c r="X48" s="60"/>
      <c r="Y48" s="60"/>
      <c r="Z48" s="6"/>
      <c r="AA48" s="12"/>
      <c r="AB48" s="12"/>
      <c r="AC48" s="12"/>
      <c r="AD48" s="12"/>
      <c r="AE48" s="2"/>
      <c r="AF48" s="20"/>
      <c r="AG48" s="60"/>
      <c r="AH48" s="60"/>
      <c r="AI48" s="6"/>
      <c r="AJ48" s="12"/>
      <c r="AK48" s="12"/>
      <c r="AL48" s="12"/>
      <c r="AM48" s="12"/>
      <c r="AN48" s="2"/>
      <c r="AO48" s="20"/>
      <c r="AP48" s="60"/>
      <c r="AQ48" s="60"/>
      <c r="AR48" s="6"/>
      <c r="AS48" s="12"/>
      <c r="AT48" s="12"/>
      <c r="AU48" s="12"/>
      <c r="AV48" s="12"/>
      <c r="AW48" s="2"/>
      <c r="AX48" s="20"/>
      <c r="AY48" s="60"/>
      <c r="AZ48" s="60"/>
      <c r="BA48" s="6"/>
      <c r="BB48" s="12"/>
      <c r="BC48" s="12"/>
      <c r="BD48" s="12"/>
      <c r="BE48" s="12"/>
      <c r="BF48" s="2"/>
      <c r="BG48" s="20"/>
      <c r="BH48" s="60"/>
      <c r="BI48" s="12"/>
      <c r="BJ48" s="12"/>
      <c r="BK48" s="12"/>
      <c r="BL48" s="12"/>
      <c r="BM48" s="12"/>
      <c r="BN48" s="2"/>
    </row>
    <row r="49" spans="2:71" ht="30" x14ac:dyDescent="0.25">
      <c r="B49" s="224"/>
      <c r="C49" s="29" t="s">
        <v>80</v>
      </c>
      <c r="D49" s="27">
        <v>85000</v>
      </c>
      <c r="E49" s="2"/>
      <c r="F49" s="35"/>
      <c r="J49" s="6">
        <v>46</v>
      </c>
      <c r="K49" s="66" t="s">
        <v>75</v>
      </c>
      <c r="L49" s="66" t="s">
        <v>56</v>
      </c>
      <c r="M49" s="16" t="s">
        <v>95</v>
      </c>
      <c r="N49" s="69" t="s">
        <v>98</v>
      </c>
      <c r="Q49" s="6"/>
      <c r="R49" s="12"/>
      <c r="S49" s="12"/>
      <c r="T49" s="12"/>
      <c r="U49" s="12"/>
      <c r="V49" s="2"/>
      <c r="W49" s="20"/>
      <c r="X49" s="60"/>
      <c r="Y49" s="60"/>
      <c r="Z49" s="6"/>
      <c r="AA49" s="12"/>
      <c r="AB49" s="12"/>
      <c r="AC49" s="12"/>
      <c r="AD49" s="12"/>
      <c r="AE49" s="2"/>
      <c r="AF49" s="20"/>
      <c r="AG49" s="60"/>
      <c r="AH49" s="60"/>
      <c r="AI49" s="6"/>
      <c r="AJ49" s="12"/>
      <c r="AK49" s="12"/>
      <c r="AL49" s="12"/>
      <c r="AM49" s="12"/>
      <c r="AN49" s="2"/>
      <c r="AO49" s="20"/>
      <c r="AP49" s="60"/>
      <c r="AQ49" s="60"/>
      <c r="AR49" s="6"/>
      <c r="AS49" s="12"/>
      <c r="AT49" s="12"/>
      <c r="AU49" s="12"/>
      <c r="AV49" s="12"/>
      <c r="AW49" s="2"/>
      <c r="AX49" s="20"/>
      <c r="AY49" s="60"/>
      <c r="AZ49" s="60"/>
      <c r="BA49" s="6"/>
      <c r="BB49" s="12"/>
      <c r="BC49" s="12"/>
      <c r="BD49" s="12"/>
      <c r="BE49" s="12"/>
      <c r="BF49" s="2"/>
      <c r="BG49" s="20"/>
      <c r="BH49" s="60"/>
      <c r="BI49" s="12"/>
      <c r="BJ49" s="12"/>
      <c r="BK49" s="12"/>
      <c r="BL49" s="12"/>
      <c r="BM49" s="12"/>
      <c r="BN49" s="2"/>
    </row>
    <row r="50" spans="2:71" x14ac:dyDescent="0.25">
      <c r="B50" s="224"/>
      <c r="C50" s="239" t="s">
        <v>97</v>
      </c>
      <c r="D50" s="241">
        <v>85000</v>
      </c>
      <c r="E50" s="2"/>
      <c r="F50" s="35"/>
      <c r="J50" s="6">
        <v>47</v>
      </c>
      <c r="K50" s="66" t="s">
        <v>75</v>
      </c>
      <c r="L50" s="66" t="s">
        <v>56</v>
      </c>
      <c r="M50" s="16" t="s">
        <v>96</v>
      </c>
      <c r="N50" s="69" t="s">
        <v>98</v>
      </c>
      <c r="Q50" s="6"/>
      <c r="R50" s="12"/>
      <c r="S50" s="12"/>
      <c r="T50" s="12"/>
      <c r="U50" s="12"/>
      <c r="V50" s="2"/>
      <c r="W50" s="20"/>
      <c r="X50" s="60"/>
      <c r="Y50" s="60"/>
      <c r="Z50" s="6"/>
      <c r="AA50" s="12"/>
      <c r="AB50" s="12"/>
      <c r="AC50" s="12"/>
      <c r="AD50" s="12"/>
      <c r="AE50" s="2"/>
      <c r="AF50" s="20"/>
      <c r="AG50" s="60"/>
      <c r="AH50" s="60"/>
      <c r="AI50" s="6"/>
      <c r="AJ50" s="12"/>
      <c r="AK50" s="12"/>
      <c r="AL50" s="12"/>
      <c r="AM50" s="12"/>
      <c r="AN50" s="2"/>
      <c r="AO50" s="20"/>
      <c r="AP50" s="60"/>
      <c r="AQ50" s="60"/>
      <c r="AR50" s="6"/>
      <c r="AS50" s="12"/>
      <c r="AT50" s="12"/>
      <c r="AU50" s="12"/>
      <c r="AV50" s="12"/>
      <c r="AW50" s="2"/>
      <c r="AX50" s="20"/>
      <c r="AY50" s="60"/>
      <c r="AZ50" s="60"/>
      <c r="BA50" s="6"/>
      <c r="BB50" s="12"/>
      <c r="BC50" s="12"/>
      <c r="BD50" s="12"/>
      <c r="BE50" s="12"/>
      <c r="BF50" s="2"/>
      <c r="BG50" s="20"/>
      <c r="BH50" s="60"/>
      <c r="BI50" s="12"/>
      <c r="BJ50" s="12"/>
      <c r="BK50" s="12"/>
      <c r="BL50" s="12"/>
      <c r="BM50" s="12"/>
      <c r="BN50" s="2"/>
      <c r="BQ50" t="s">
        <v>177</v>
      </c>
    </row>
    <row r="51" spans="2:71" ht="15.75" thickBot="1" x14ac:dyDescent="0.3">
      <c r="B51" s="225"/>
      <c r="C51" s="240"/>
      <c r="D51" s="242"/>
      <c r="E51" s="39"/>
      <c r="F51" s="40"/>
      <c r="J51" s="58">
        <v>48</v>
      </c>
      <c r="K51" s="65" t="s">
        <v>32</v>
      </c>
      <c r="L51" s="65" t="s">
        <v>19</v>
      </c>
      <c r="M51" s="61" t="s">
        <v>42</v>
      </c>
      <c r="N51" s="70" t="s">
        <v>98</v>
      </c>
      <c r="Q51" s="6"/>
      <c r="R51" s="12"/>
      <c r="S51" s="12"/>
      <c r="T51" s="12"/>
      <c r="U51" s="12"/>
      <c r="V51" s="2"/>
      <c r="W51" s="20"/>
      <c r="X51" s="60"/>
      <c r="Y51" s="60"/>
      <c r="Z51" s="6"/>
      <c r="AA51" s="12"/>
      <c r="AB51" s="12"/>
      <c r="AC51" s="12"/>
      <c r="AD51" s="12"/>
      <c r="AE51" s="2"/>
      <c r="AF51" s="20"/>
      <c r="AG51" s="60"/>
      <c r="AH51" s="60"/>
      <c r="AI51" s="6"/>
      <c r="AJ51" s="12"/>
      <c r="AK51" s="12"/>
      <c r="AL51" s="12"/>
      <c r="AM51" s="12"/>
      <c r="AN51" s="2"/>
      <c r="AO51" s="20"/>
      <c r="AP51" s="60"/>
      <c r="AQ51" s="60"/>
      <c r="AR51" s="6"/>
      <c r="AS51" s="12"/>
      <c r="AT51" s="12"/>
      <c r="AU51" s="12"/>
      <c r="AV51" s="12"/>
      <c r="AW51" s="2"/>
      <c r="AX51" s="20"/>
      <c r="AY51" s="60"/>
      <c r="AZ51" s="60"/>
      <c r="BA51" s="6"/>
      <c r="BB51" s="12"/>
      <c r="BC51" s="12"/>
      <c r="BD51" s="12"/>
      <c r="BE51" s="12"/>
      <c r="BF51" s="2"/>
      <c r="BG51" s="20"/>
      <c r="BH51" s="60"/>
      <c r="BI51" s="12"/>
      <c r="BJ51" s="12"/>
      <c r="BK51" s="12"/>
      <c r="BL51" s="12"/>
      <c r="BM51" s="12"/>
      <c r="BN51" s="2"/>
      <c r="BQ51" t="s">
        <v>174</v>
      </c>
      <c r="BS51" s="9">
        <f>973000-27000+185000</f>
        <v>1131000</v>
      </c>
    </row>
    <row r="52" spans="2:71" x14ac:dyDescent="0.25">
      <c r="B52" s="225"/>
      <c r="C52" s="239" t="s">
        <v>35</v>
      </c>
      <c r="D52" s="243">
        <v>85000</v>
      </c>
      <c r="E52" s="39"/>
      <c r="F52" s="40"/>
      <c r="J52" s="5"/>
      <c r="K52" s="54"/>
      <c r="L52" s="54"/>
      <c r="M52" s="54"/>
      <c r="N52" s="71"/>
      <c r="Q52" s="6"/>
      <c r="R52" s="12"/>
      <c r="S52" s="12"/>
      <c r="T52" s="12"/>
      <c r="U52" s="12"/>
      <c r="V52" s="2"/>
      <c r="W52" s="20"/>
      <c r="X52" s="60"/>
      <c r="Y52" s="60"/>
      <c r="Z52" s="6"/>
      <c r="AA52" s="12"/>
      <c r="AB52" s="12"/>
      <c r="AC52" s="12"/>
      <c r="AD52" s="12"/>
      <c r="AE52" s="2"/>
      <c r="AF52" s="20"/>
      <c r="AG52" s="60"/>
      <c r="AH52" s="60"/>
      <c r="AI52" s="6"/>
      <c r="AJ52" s="12"/>
      <c r="AK52" s="12"/>
      <c r="AL52" s="12"/>
      <c r="AM52" s="12"/>
      <c r="AN52" s="2"/>
      <c r="AO52" s="20"/>
      <c r="AP52" s="60"/>
      <c r="AQ52" s="60"/>
      <c r="AR52" s="6"/>
      <c r="AS52" s="12"/>
      <c r="AT52" s="12"/>
      <c r="AU52" s="12"/>
      <c r="AV52" s="12"/>
      <c r="AW52" s="2"/>
      <c r="AX52" s="20"/>
      <c r="AY52" s="60"/>
      <c r="AZ52" s="60"/>
      <c r="BA52" s="6"/>
      <c r="BB52" s="12"/>
      <c r="BC52" s="12"/>
      <c r="BD52" s="12"/>
      <c r="BE52" s="12"/>
      <c r="BF52" s="2"/>
      <c r="BG52" s="20"/>
      <c r="BH52" s="60"/>
      <c r="BI52" s="12"/>
      <c r="BJ52" s="12"/>
      <c r="BK52" s="12"/>
      <c r="BL52" s="12"/>
      <c r="BM52" s="12"/>
      <c r="BN52" s="2"/>
      <c r="BQ52" t="s">
        <v>175</v>
      </c>
      <c r="BS52" s="9">
        <v>300000</v>
      </c>
    </row>
    <row r="53" spans="2:71" x14ac:dyDescent="0.25">
      <c r="B53" s="225"/>
      <c r="C53" s="240"/>
      <c r="D53" s="244"/>
      <c r="E53" s="39"/>
      <c r="F53" s="40"/>
      <c r="J53" s="6"/>
      <c r="K53" s="12"/>
      <c r="L53" s="12"/>
      <c r="M53" s="12"/>
      <c r="N53" s="72"/>
      <c r="Q53" s="6"/>
      <c r="R53" s="12"/>
      <c r="S53" s="12"/>
      <c r="T53" s="12"/>
      <c r="U53" s="12"/>
      <c r="V53" s="2"/>
      <c r="W53" s="20"/>
      <c r="X53" s="60"/>
      <c r="Y53" s="60"/>
      <c r="Z53" s="6"/>
      <c r="AA53" s="12"/>
      <c r="AB53" s="12"/>
      <c r="AC53" s="12"/>
      <c r="AD53" s="12"/>
      <c r="AE53" s="2"/>
      <c r="AF53" s="20"/>
      <c r="AG53" s="60"/>
      <c r="AH53" s="60"/>
      <c r="AI53" s="6"/>
      <c r="AJ53" s="12"/>
      <c r="AK53" s="12"/>
      <c r="AL53" s="12"/>
      <c r="AM53" s="12"/>
      <c r="AN53" s="2"/>
      <c r="AO53" s="20"/>
      <c r="AP53" s="60"/>
      <c r="AQ53" s="60"/>
      <c r="AR53" s="6"/>
      <c r="AS53" s="12"/>
      <c r="AT53" s="12"/>
      <c r="AU53" s="12"/>
      <c r="AV53" s="12"/>
      <c r="AW53" s="2"/>
      <c r="AX53" s="20"/>
      <c r="AY53" s="60"/>
      <c r="AZ53" s="60"/>
      <c r="BA53" s="6"/>
      <c r="BB53" s="12"/>
      <c r="BC53" s="12"/>
      <c r="BD53" s="12"/>
      <c r="BE53" s="12"/>
      <c r="BF53" s="2"/>
      <c r="BG53" s="20"/>
      <c r="BH53" s="60"/>
      <c r="BI53" s="12"/>
      <c r="BJ53" s="12"/>
      <c r="BK53" s="12"/>
      <c r="BL53" s="12"/>
      <c r="BM53" s="12"/>
      <c r="BN53" s="2"/>
      <c r="BQ53" t="s">
        <v>176</v>
      </c>
      <c r="BS53" s="9">
        <f>BS51-BS52</f>
        <v>831000</v>
      </c>
    </row>
    <row r="54" spans="2:71" x14ac:dyDescent="0.25">
      <c r="B54" s="225"/>
      <c r="C54" s="239" t="s">
        <v>99</v>
      </c>
      <c r="D54" s="243">
        <v>85000</v>
      </c>
      <c r="E54" s="39"/>
      <c r="F54" s="40"/>
      <c r="J54" s="56"/>
      <c r="K54" s="12"/>
      <c r="L54" s="12"/>
      <c r="M54" s="12"/>
      <c r="N54" s="72"/>
      <c r="Q54" s="6"/>
      <c r="R54" s="12"/>
      <c r="S54" s="12"/>
      <c r="T54" s="12"/>
      <c r="U54" s="12"/>
      <c r="V54" s="2"/>
      <c r="W54" s="20"/>
      <c r="X54" s="60"/>
      <c r="Y54" s="60"/>
      <c r="Z54" s="6"/>
      <c r="AA54" s="12"/>
      <c r="AB54" s="12"/>
      <c r="AC54" s="12"/>
      <c r="AD54" s="12"/>
      <c r="AE54" s="2"/>
      <c r="AF54" s="20"/>
      <c r="AG54" s="60"/>
      <c r="AH54" s="60"/>
      <c r="AI54" s="6"/>
      <c r="AJ54" s="12"/>
      <c r="AK54" s="12"/>
      <c r="AL54" s="12"/>
      <c r="AM54" s="12"/>
      <c r="AN54" s="2"/>
      <c r="AO54" s="20"/>
      <c r="AP54" s="60"/>
      <c r="AQ54" s="60"/>
      <c r="AR54" s="6"/>
      <c r="AS54" s="12"/>
      <c r="AT54" s="12"/>
      <c r="AU54" s="12"/>
      <c r="AV54" s="12"/>
      <c r="AW54" s="2"/>
      <c r="AX54" s="20"/>
      <c r="AY54" s="60"/>
      <c r="AZ54" s="60"/>
      <c r="BA54" s="6"/>
      <c r="BB54" s="12"/>
      <c r="BC54" s="12"/>
      <c r="BD54" s="12"/>
      <c r="BE54" s="12"/>
      <c r="BF54" s="2"/>
      <c r="BG54" s="20"/>
      <c r="BH54" s="60"/>
      <c r="BI54" s="12"/>
      <c r="BJ54" s="12"/>
      <c r="BK54" s="12"/>
      <c r="BL54" s="12"/>
      <c r="BM54" s="12"/>
      <c r="BN54" s="2"/>
    </row>
    <row r="55" spans="2:71" x14ac:dyDescent="0.25">
      <c r="B55" s="225"/>
      <c r="C55" s="240"/>
      <c r="D55" s="244"/>
      <c r="E55" s="39"/>
      <c r="F55" s="40"/>
      <c r="J55" s="6"/>
      <c r="K55" s="12"/>
      <c r="L55" s="12"/>
      <c r="M55" s="12"/>
      <c r="N55" s="72"/>
      <c r="Q55" s="6"/>
      <c r="R55" s="12"/>
      <c r="S55" s="12"/>
      <c r="T55" s="12"/>
      <c r="U55" s="12"/>
      <c r="V55" s="2"/>
      <c r="W55" s="20"/>
      <c r="X55" s="60"/>
      <c r="Y55" s="60"/>
      <c r="Z55" s="6"/>
      <c r="AA55" s="12"/>
      <c r="AB55" s="12"/>
      <c r="AC55" s="12"/>
      <c r="AD55" s="12"/>
      <c r="AE55" s="2"/>
      <c r="AF55" s="20"/>
      <c r="AG55" s="60"/>
      <c r="AH55" s="60"/>
      <c r="AI55" s="6"/>
      <c r="AJ55" s="12"/>
      <c r="AK55" s="12"/>
      <c r="AL55" s="12"/>
      <c r="AM55" s="12"/>
      <c r="AN55" s="2"/>
      <c r="AO55" s="20"/>
      <c r="AP55" s="60"/>
      <c r="AQ55" s="60"/>
      <c r="AR55" s="6"/>
      <c r="AS55" s="12"/>
      <c r="AT55" s="12"/>
      <c r="AU55" s="12"/>
      <c r="AV55" s="12"/>
      <c r="AW55" s="2"/>
      <c r="AX55" s="20"/>
      <c r="AY55" s="60"/>
      <c r="AZ55" s="60"/>
      <c r="BA55" s="6"/>
      <c r="BB55" s="12"/>
      <c r="BC55" s="12"/>
      <c r="BD55" s="12"/>
      <c r="BE55" s="12"/>
      <c r="BF55" s="2"/>
      <c r="BG55" s="20"/>
      <c r="BH55" s="60"/>
      <c r="BI55" s="12"/>
      <c r="BJ55" s="12"/>
      <c r="BK55" s="12"/>
      <c r="BL55" s="12"/>
      <c r="BM55" s="12"/>
      <c r="BN55" s="2"/>
    </row>
    <row r="56" spans="2:71" x14ac:dyDescent="0.25">
      <c r="B56" s="225"/>
      <c r="C56" s="38" t="s">
        <v>89</v>
      </c>
      <c r="D56" s="39">
        <v>85000</v>
      </c>
      <c r="E56" s="39"/>
      <c r="F56" s="40"/>
      <c r="J56" s="56"/>
      <c r="K56" s="12"/>
      <c r="L56" s="12"/>
      <c r="M56" s="12"/>
      <c r="N56" s="72"/>
      <c r="Q56" s="6"/>
      <c r="R56" s="12"/>
      <c r="S56" s="12"/>
      <c r="T56" s="12"/>
      <c r="U56" s="12"/>
      <c r="V56" s="2"/>
      <c r="W56" s="20"/>
      <c r="X56" s="60"/>
      <c r="Y56" s="60"/>
      <c r="Z56" s="6"/>
      <c r="AA56" s="12"/>
      <c r="AB56" s="12"/>
      <c r="AC56" s="12"/>
      <c r="AD56" s="12"/>
      <c r="AE56" s="2"/>
      <c r="AF56" s="20"/>
      <c r="AG56" s="60"/>
      <c r="AH56" s="60"/>
      <c r="AI56" s="6"/>
      <c r="AJ56" s="12"/>
      <c r="AK56" s="12"/>
      <c r="AL56" s="12"/>
      <c r="AM56" s="12"/>
      <c r="AN56" s="2"/>
      <c r="AO56" s="20"/>
      <c r="AP56" s="60"/>
      <c r="AQ56" s="60"/>
      <c r="AR56" s="6"/>
      <c r="AS56" s="12"/>
      <c r="AT56" s="12"/>
      <c r="AU56" s="12"/>
      <c r="AV56" s="12"/>
      <c r="AW56" s="2"/>
      <c r="AX56" s="20"/>
      <c r="AY56" s="60"/>
      <c r="AZ56" s="60"/>
      <c r="BA56" s="6"/>
      <c r="BB56" s="12"/>
      <c r="BC56" s="12"/>
      <c r="BD56" s="12"/>
      <c r="BE56" s="12"/>
      <c r="BF56" s="2"/>
      <c r="BG56" s="20"/>
      <c r="BH56" s="60"/>
      <c r="BI56" s="12"/>
      <c r="BJ56" s="12"/>
      <c r="BK56" s="12"/>
      <c r="BL56" s="12"/>
      <c r="BM56" s="12"/>
      <c r="BN56" s="2"/>
      <c r="BQ56" t="s">
        <v>178</v>
      </c>
    </row>
    <row r="57" spans="2:71" x14ac:dyDescent="0.25">
      <c r="B57" s="225"/>
      <c r="C57" s="32"/>
      <c r="D57" s="39"/>
      <c r="E57" s="39"/>
      <c r="F57" s="40"/>
      <c r="J57" s="6"/>
      <c r="K57" s="12"/>
      <c r="L57" s="12"/>
      <c r="M57" s="12"/>
      <c r="N57" s="72"/>
      <c r="Q57" s="6"/>
      <c r="R57" s="12"/>
      <c r="S57" s="12"/>
      <c r="T57" s="12"/>
      <c r="U57" s="12"/>
      <c r="V57" s="2"/>
      <c r="W57" s="20"/>
      <c r="X57" s="60"/>
      <c r="Y57" s="60"/>
      <c r="Z57" s="6"/>
      <c r="AA57" s="12"/>
      <c r="AB57" s="12"/>
      <c r="AC57" s="12"/>
      <c r="AD57" s="12"/>
      <c r="AE57" s="2"/>
      <c r="AF57" s="20"/>
      <c r="AG57" s="60"/>
      <c r="AH57" s="60"/>
      <c r="AI57" s="6"/>
      <c r="AJ57" s="12"/>
      <c r="AK57" s="12"/>
      <c r="AL57" s="12"/>
      <c r="AM57" s="12"/>
      <c r="AN57" s="2"/>
      <c r="AO57" s="20"/>
      <c r="AP57" s="60"/>
      <c r="AQ57" s="60"/>
      <c r="AR57" s="6"/>
      <c r="AS57" s="12"/>
      <c r="AT57" s="12"/>
      <c r="AU57" s="12"/>
      <c r="AV57" s="12"/>
      <c r="AW57" s="2"/>
      <c r="AX57" s="20"/>
      <c r="AY57" s="60"/>
      <c r="AZ57" s="60"/>
      <c r="BA57" s="6"/>
      <c r="BB57" s="12"/>
      <c r="BC57" s="12"/>
      <c r="BD57" s="12"/>
      <c r="BE57" s="12"/>
      <c r="BF57" s="2"/>
      <c r="BG57" s="20"/>
      <c r="BH57" s="60"/>
      <c r="BI57" s="12"/>
      <c r="BJ57" s="12"/>
      <c r="BK57" s="12"/>
      <c r="BL57" s="12"/>
      <c r="BM57" s="12"/>
      <c r="BN57" s="2"/>
      <c r="BQ57" t="s">
        <v>174</v>
      </c>
      <c r="BS57" s="9">
        <v>2340000</v>
      </c>
    </row>
    <row r="58" spans="2:71" x14ac:dyDescent="0.25">
      <c r="B58" s="225"/>
      <c r="C58" s="32"/>
      <c r="D58" s="39"/>
      <c r="E58" s="39"/>
      <c r="F58" s="40"/>
      <c r="J58" s="56"/>
      <c r="K58" s="12"/>
      <c r="L58" s="12"/>
      <c r="M58" s="12"/>
      <c r="N58" s="72"/>
      <c r="Q58" s="6"/>
      <c r="R58" s="12"/>
      <c r="S58" s="12"/>
      <c r="T58" s="12"/>
      <c r="U58" s="12"/>
      <c r="V58" s="2"/>
      <c r="W58" s="20"/>
      <c r="X58" s="60"/>
      <c r="Y58" s="60"/>
      <c r="Z58" s="6"/>
      <c r="AA58" s="12"/>
      <c r="AB58" s="12"/>
      <c r="AC58" s="12"/>
      <c r="AD58" s="12"/>
      <c r="AE58" s="2"/>
      <c r="AF58" s="20"/>
      <c r="AG58" s="60"/>
      <c r="AH58" s="60"/>
      <c r="AI58" s="6"/>
      <c r="AJ58" s="12"/>
      <c r="AK58" s="12"/>
      <c r="AL58" s="12"/>
      <c r="AM58" s="12"/>
      <c r="AN58" s="2"/>
      <c r="AO58" s="20"/>
      <c r="AP58" s="60"/>
      <c r="AQ58" s="60"/>
      <c r="AR58" s="6"/>
      <c r="AS58" s="12"/>
      <c r="AT58" s="12"/>
      <c r="AU58" s="12"/>
      <c r="AV58" s="12"/>
      <c r="AW58" s="2"/>
      <c r="AX58" s="20"/>
      <c r="AY58" s="60"/>
      <c r="AZ58" s="60"/>
      <c r="BA58" s="6"/>
      <c r="BB58" s="12"/>
      <c r="BC58" s="12"/>
      <c r="BD58" s="12"/>
      <c r="BE58" s="12"/>
      <c r="BF58" s="2"/>
      <c r="BG58" s="20"/>
      <c r="BH58" s="60"/>
      <c r="BI58" s="12"/>
      <c r="BJ58" s="12"/>
      <c r="BK58" s="12"/>
      <c r="BL58" s="12"/>
      <c r="BM58" s="12"/>
      <c r="BN58" s="2"/>
      <c r="BQ58" t="s">
        <v>175</v>
      </c>
      <c r="BS58" s="9">
        <v>674000</v>
      </c>
    </row>
    <row r="59" spans="2:71" x14ac:dyDescent="0.25">
      <c r="B59" s="225"/>
      <c r="C59" s="32"/>
      <c r="D59" s="39"/>
      <c r="E59" s="39"/>
      <c r="F59" s="40"/>
      <c r="J59" s="6"/>
      <c r="K59" s="12"/>
      <c r="L59" s="12"/>
      <c r="M59" s="12"/>
      <c r="N59" s="72"/>
      <c r="Q59" s="6"/>
      <c r="R59" s="12"/>
      <c r="S59" s="12"/>
      <c r="T59" s="12"/>
      <c r="U59" s="12"/>
      <c r="V59" s="2"/>
      <c r="W59" s="20"/>
      <c r="X59" s="60"/>
      <c r="Y59" s="60"/>
      <c r="Z59" s="6"/>
      <c r="AA59" s="12"/>
      <c r="AB59" s="12"/>
      <c r="AC59" s="12"/>
      <c r="AD59" s="12"/>
      <c r="AE59" s="2"/>
      <c r="AF59" s="20"/>
      <c r="AG59" s="60"/>
      <c r="AH59" s="60"/>
      <c r="AI59" s="6"/>
      <c r="AJ59" s="12"/>
      <c r="AK59" s="12"/>
      <c r="AL59" s="12"/>
      <c r="AM59" s="12"/>
      <c r="AN59" s="2"/>
      <c r="AO59" s="20"/>
      <c r="AP59" s="60"/>
      <c r="AQ59" s="60"/>
      <c r="AR59" s="6"/>
      <c r="AS59" s="12"/>
      <c r="AT59" s="12"/>
      <c r="AU59" s="12"/>
      <c r="AV59" s="12"/>
      <c r="AW59" s="2"/>
      <c r="AX59" s="20"/>
      <c r="AY59" s="60"/>
      <c r="AZ59" s="60"/>
      <c r="BA59" s="6"/>
      <c r="BB59" s="12"/>
      <c r="BC59" s="12"/>
      <c r="BD59" s="12"/>
      <c r="BE59" s="12"/>
      <c r="BF59" s="2"/>
      <c r="BG59" s="20"/>
      <c r="BH59" s="60"/>
      <c r="BI59" s="12"/>
      <c r="BJ59" s="12"/>
      <c r="BK59" s="12"/>
      <c r="BL59" s="12"/>
      <c r="BM59" s="12"/>
      <c r="BN59" s="2"/>
      <c r="BQ59" t="s">
        <v>176</v>
      </c>
      <c r="BS59" s="9">
        <f>BS57-BS58</f>
        <v>1666000</v>
      </c>
    </row>
    <row r="60" spans="2:71" x14ac:dyDescent="0.25">
      <c r="B60" s="225"/>
      <c r="C60" s="32"/>
      <c r="D60" s="39"/>
      <c r="E60" s="39"/>
      <c r="F60" s="40"/>
      <c r="J60" s="56"/>
      <c r="K60" s="12"/>
      <c r="L60" s="12"/>
      <c r="M60" s="12"/>
      <c r="N60" s="72"/>
      <c r="Q60" s="6"/>
      <c r="R60" s="12"/>
      <c r="S60" s="12"/>
      <c r="T60" s="12"/>
      <c r="U60" s="12"/>
      <c r="V60" s="2"/>
      <c r="W60" s="20"/>
      <c r="X60" s="60"/>
      <c r="Y60" s="60"/>
      <c r="Z60" s="6"/>
      <c r="AA60" s="12"/>
      <c r="AB60" s="12"/>
      <c r="AC60" s="12"/>
      <c r="AD60" s="12"/>
      <c r="AE60" s="2"/>
      <c r="AF60" s="20"/>
      <c r="AG60" s="60"/>
      <c r="AH60" s="60"/>
      <c r="AI60" s="6"/>
      <c r="AJ60" s="12"/>
      <c r="AK60" s="12"/>
      <c r="AL60" s="12"/>
      <c r="AM60" s="12"/>
      <c r="AN60" s="2"/>
      <c r="AO60" s="20"/>
      <c r="AP60" s="60"/>
      <c r="AQ60" s="60"/>
      <c r="AR60" s="6"/>
      <c r="AS60" s="12"/>
      <c r="AT60" s="12"/>
      <c r="AU60" s="12"/>
      <c r="AV60" s="12"/>
      <c r="AW60" s="2"/>
      <c r="AX60" s="20"/>
      <c r="AY60" s="60"/>
      <c r="AZ60" s="60"/>
      <c r="BA60" s="6"/>
      <c r="BB60" s="12"/>
      <c r="BC60" s="12"/>
      <c r="BD60" s="12"/>
      <c r="BE60" s="12"/>
      <c r="BF60" s="2"/>
      <c r="BG60" s="20"/>
      <c r="BH60" s="60"/>
      <c r="BI60" s="12"/>
      <c r="BJ60" s="12"/>
      <c r="BK60" s="12"/>
      <c r="BL60" s="12"/>
      <c r="BM60" s="12"/>
      <c r="BN60" s="2"/>
    </row>
    <row r="61" spans="2:71" ht="15.75" thickBot="1" x14ac:dyDescent="0.3">
      <c r="B61" s="226"/>
      <c r="C61" s="31"/>
      <c r="D61" s="21"/>
      <c r="E61" s="21"/>
      <c r="F61" s="36"/>
      <c r="J61" s="58"/>
      <c r="K61" s="7"/>
      <c r="L61" s="7"/>
      <c r="M61" s="7"/>
      <c r="N61" s="57"/>
      <c r="Q61" s="6"/>
      <c r="R61" s="12"/>
      <c r="S61" s="12"/>
      <c r="T61" s="12"/>
      <c r="U61" s="12"/>
      <c r="V61" s="2"/>
      <c r="W61" s="20"/>
      <c r="X61" s="60"/>
      <c r="Y61" s="60"/>
      <c r="Z61" s="6"/>
      <c r="AA61" s="12"/>
      <c r="AB61" s="12"/>
      <c r="AC61" s="12"/>
      <c r="AD61" s="12"/>
      <c r="AE61" s="2"/>
      <c r="AF61" s="20"/>
      <c r="AG61" s="60"/>
      <c r="AH61" s="60"/>
      <c r="AI61" s="6"/>
      <c r="AJ61" s="12"/>
      <c r="AK61" s="12"/>
      <c r="AL61" s="12"/>
      <c r="AM61" s="12"/>
      <c r="AN61" s="2"/>
      <c r="AO61" s="20"/>
      <c r="AP61" s="60"/>
      <c r="AQ61" s="60"/>
      <c r="AR61" s="6"/>
      <c r="AS61" s="12"/>
      <c r="AT61" s="12"/>
      <c r="AU61" s="12"/>
      <c r="AV61" s="12"/>
      <c r="AW61" s="2"/>
      <c r="AX61" s="20"/>
      <c r="AY61" s="60"/>
      <c r="AZ61" s="60"/>
      <c r="BA61" s="6"/>
      <c r="BB61" s="12"/>
      <c r="BC61" s="12"/>
      <c r="BD61" s="12"/>
      <c r="BE61" s="12"/>
      <c r="BF61" s="2"/>
      <c r="BG61" s="20"/>
      <c r="BH61" s="60"/>
      <c r="BI61" s="12"/>
      <c r="BJ61" s="12"/>
      <c r="BK61" s="12"/>
      <c r="BL61" s="12"/>
      <c r="BM61" s="12"/>
      <c r="BN61" s="2"/>
    </row>
    <row r="62" spans="2:71" x14ac:dyDescent="0.25">
      <c r="B62" s="227" t="s">
        <v>4</v>
      </c>
      <c r="C62" s="33" t="s">
        <v>65</v>
      </c>
      <c r="D62" s="26"/>
      <c r="E62" s="26" t="e">
        <f>#REF!</f>
        <v>#REF!</v>
      </c>
      <c r="F62" s="34" t="s">
        <v>62</v>
      </c>
      <c r="J62" s="19"/>
      <c r="K62" s="64"/>
      <c r="L62" s="64"/>
      <c r="M62" s="64"/>
      <c r="N62" s="64"/>
      <c r="Q62" s="6"/>
      <c r="R62" s="12"/>
      <c r="S62" s="12"/>
      <c r="T62" s="12"/>
      <c r="U62" s="12"/>
      <c r="V62" s="2"/>
      <c r="W62" s="20"/>
      <c r="X62" s="60"/>
      <c r="Y62" s="60"/>
      <c r="Z62" s="6"/>
      <c r="AA62" s="12"/>
      <c r="AB62" s="12"/>
      <c r="AC62" s="12"/>
      <c r="AD62" s="12"/>
      <c r="AE62" s="2"/>
      <c r="AF62" s="20"/>
      <c r="AG62" s="60"/>
      <c r="AH62" s="60"/>
      <c r="AI62" s="6"/>
      <c r="AJ62" s="12"/>
      <c r="AK62" s="12"/>
      <c r="AL62" s="12"/>
      <c r="AM62" s="12"/>
      <c r="AN62" s="2"/>
      <c r="AO62" s="20"/>
      <c r="AP62" s="60"/>
      <c r="AQ62" s="60"/>
      <c r="AR62" s="6"/>
      <c r="AS62" s="12"/>
      <c r="AT62" s="12"/>
      <c r="AU62" s="12"/>
      <c r="AV62" s="12"/>
      <c r="AW62" s="2"/>
      <c r="AX62" s="20"/>
      <c r="AY62" s="60"/>
      <c r="AZ62" s="60"/>
      <c r="BA62" s="6"/>
      <c r="BB62" s="12"/>
      <c r="BC62" s="12"/>
      <c r="BD62" s="12"/>
      <c r="BE62" s="12"/>
      <c r="BF62" s="2"/>
      <c r="BG62" s="20"/>
      <c r="BH62" s="60"/>
      <c r="BI62" s="12"/>
      <c r="BJ62" s="12"/>
      <c r="BK62" s="12"/>
      <c r="BL62" s="12"/>
      <c r="BM62" s="12"/>
      <c r="BN62" s="2"/>
    </row>
    <row r="63" spans="2:71" x14ac:dyDescent="0.25">
      <c r="B63" s="228"/>
      <c r="C63" s="30" t="s">
        <v>3</v>
      </c>
      <c r="D63" s="2"/>
      <c r="E63" s="2">
        <v>140000</v>
      </c>
      <c r="F63" s="35" t="s">
        <v>63</v>
      </c>
      <c r="J63" s="12"/>
      <c r="K63" s="14"/>
      <c r="L63" s="14"/>
      <c r="M63" s="14"/>
      <c r="N63" s="14"/>
      <c r="Q63" s="6"/>
      <c r="R63" s="12"/>
      <c r="S63" s="12"/>
      <c r="T63" s="12"/>
      <c r="U63" s="12"/>
      <c r="V63" s="2"/>
      <c r="W63" s="20"/>
      <c r="X63" s="60"/>
      <c r="Y63" s="60"/>
      <c r="Z63" s="6"/>
      <c r="AA63" s="12"/>
      <c r="AB63" s="12"/>
      <c r="AC63" s="12"/>
      <c r="AD63" s="12"/>
      <c r="AE63" s="2"/>
      <c r="AF63" s="20"/>
      <c r="AG63" s="60"/>
      <c r="AH63" s="60"/>
      <c r="AI63" s="6"/>
      <c r="AJ63" s="12"/>
      <c r="AK63" s="12"/>
      <c r="AL63" s="12"/>
      <c r="AM63" s="12"/>
      <c r="AN63" s="2"/>
      <c r="AO63" s="20"/>
      <c r="AP63" s="60"/>
      <c r="AQ63" s="60"/>
      <c r="AR63" s="6"/>
      <c r="AS63" s="12"/>
      <c r="AT63" s="12"/>
      <c r="AU63" s="12"/>
      <c r="AV63" s="12"/>
      <c r="AW63" s="2"/>
      <c r="AX63" s="20"/>
      <c r="AY63" s="60"/>
      <c r="AZ63" s="60"/>
      <c r="BA63" s="6"/>
      <c r="BB63" s="12"/>
      <c r="BC63" s="12"/>
      <c r="BD63" s="12"/>
      <c r="BE63" s="12"/>
      <c r="BF63" s="2"/>
      <c r="BG63" s="20"/>
      <c r="BH63" s="60"/>
      <c r="BI63" s="12"/>
      <c r="BJ63" s="12"/>
      <c r="BK63" s="12"/>
      <c r="BL63" s="12"/>
      <c r="BM63" s="12"/>
      <c r="BN63" s="2"/>
    </row>
    <row r="64" spans="2:71" x14ac:dyDescent="0.25">
      <c r="B64" s="228"/>
      <c r="C64" s="30"/>
      <c r="D64" s="2"/>
      <c r="E64" s="2"/>
      <c r="F64" s="35"/>
      <c r="J64" s="19"/>
      <c r="K64" s="14"/>
      <c r="L64" s="14"/>
      <c r="M64" s="14"/>
      <c r="N64" s="14"/>
      <c r="Q64" s="6"/>
      <c r="R64" s="12"/>
      <c r="S64" s="12"/>
      <c r="T64" s="12"/>
      <c r="U64" s="12"/>
      <c r="V64" s="2"/>
      <c r="W64" s="20"/>
      <c r="X64" s="60"/>
      <c r="Y64" s="60"/>
      <c r="Z64" s="6"/>
      <c r="AA64" s="12"/>
      <c r="AB64" s="12"/>
      <c r="AC64" s="12"/>
      <c r="AD64" s="12"/>
      <c r="AE64" s="2"/>
      <c r="AF64" s="20"/>
      <c r="AG64" s="60"/>
      <c r="AH64" s="60"/>
      <c r="AI64" s="6"/>
      <c r="AJ64" s="12"/>
      <c r="AK64" s="12"/>
      <c r="AL64" s="12"/>
      <c r="AM64" s="12"/>
      <c r="AN64" s="2"/>
      <c r="AO64" s="20"/>
      <c r="AP64" s="60"/>
      <c r="AQ64" s="60"/>
      <c r="AR64" s="6"/>
      <c r="AS64" s="12"/>
      <c r="AT64" s="12"/>
      <c r="AU64" s="12"/>
      <c r="AV64" s="12"/>
      <c r="AW64" s="2"/>
      <c r="AX64" s="20"/>
      <c r="AY64" s="60"/>
      <c r="AZ64" s="60"/>
      <c r="BA64" s="6"/>
      <c r="BB64" s="12"/>
      <c r="BC64" s="12"/>
      <c r="BD64" s="12"/>
      <c r="BE64" s="12"/>
      <c r="BF64" s="2"/>
      <c r="BG64" s="20"/>
      <c r="BH64" s="60"/>
      <c r="BI64" s="12"/>
      <c r="BJ64" s="12"/>
      <c r="BK64" s="12"/>
      <c r="BL64" s="12"/>
      <c r="BM64" s="12"/>
      <c r="BN64" s="2"/>
    </row>
    <row r="65" spans="2:66" x14ac:dyDescent="0.25">
      <c r="B65" s="228"/>
      <c r="C65" s="30"/>
      <c r="D65" s="2"/>
      <c r="E65" s="2"/>
      <c r="F65" s="35"/>
      <c r="J65" s="12"/>
      <c r="K65" s="14"/>
      <c r="L65" s="14"/>
      <c r="M65" s="14"/>
      <c r="N65" s="14"/>
      <c r="Q65" s="6"/>
      <c r="R65" s="12"/>
      <c r="S65" s="12"/>
      <c r="T65" s="12"/>
      <c r="U65" s="12"/>
      <c r="V65" s="2"/>
      <c r="W65" s="20"/>
      <c r="X65" s="60"/>
      <c r="Y65" s="60"/>
      <c r="Z65" s="6"/>
      <c r="AA65" s="12"/>
      <c r="AB65" s="12"/>
      <c r="AC65" s="12"/>
      <c r="AD65" s="12"/>
      <c r="AE65" s="2"/>
      <c r="AF65" s="20"/>
      <c r="AG65" s="60"/>
      <c r="AH65" s="60"/>
      <c r="AI65" s="6"/>
      <c r="AJ65" s="12"/>
      <c r="AK65" s="12"/>
      <c r="AL65" s="12"/>
      <c r="AM65" s="12"/>
      <c r="AN65" s="2"/>
      <c r="AO65" s="20"/>
      <c r="AP65" s="60"/>
      <c r="AQ65" s="60"/>
      <c r="AR65" s="6"/>
      <c r="AS65" s="12"/>
      <c r="AT65" s="12"/>
      <c r="AU65" s="12"/>
      <c r="AV65" s="12"/>
      <c r="AW65" s="2"/>
      <c r="AX65" s="20"/>
      <c r="AY65" s="60"/>
      <c r="AZ65" s="60"/>
      <c r="BA65" s="6"/>
      <c r="BB65" s="12"/>
      <c r="BC65" s="12"/>
      <c r="BD65" s="12"/>
      <c r="BE65" s="12"/>
      <c r="BF65" s="2"/>
      <c r="BG65" s="20"/>
      <c r="BH65" s="60"/>
      <c r="BI65" s="12"/>
      <c r="BJ65" s="12"/>
      <c r="BK65" s="12"/>
      <c r="BL65" s="12"/>
      <c r="BM65" s="12"/>
      <c r="BN65" s="2"/>
    </row>
    <row r="66" spans="2:66" ht="15.75" thickBot="1" x14ac:dyDescent="0.3">
      <c r="B66" s="228"/>
      <c r="C66" s="30"/>
      <c r="D66" s="2"/>
      <c r="E66" s="2"/>
      <c r="F66" s="35"/>
      <c r="J66" s="19"/>
      <c r="K66" s="14"/>
      <c r="L66" s="14"/>
      <c r="M66" s="14"/>
      <c r="N66" s="14"/>
      <c r="Q66" s="58"/>
      <c r="R66" s="7"/>
      <c r="S66" s="7"/>
      <c r="T66" s="7"/>
      <c r="U66" s="7"/>
      <c r="V66" s="21"/>
      <c r="W66" s="22"/>
      <c r="X66" s="60"/>
      <c r="Y66" s="60"/>
      <c r="Z66" s="58"/>
      <c r="AA66" s="7"/>
      <c r="AB66" s="7"/>
      <c r="AC66" s="7"/>
      <c r="AD66" s="7"/>
      <c r="AE66" s="21"/>
      <c r="AF66" s="22"/>
      <c r="AG66" s="60"/>
      <c r="AH66" s="60"/>
      <c r="AI66" s="58"/>
      <c r="AJ66" s="7"/>
      <c r="AK66" s="7"/>
      <c r="AL66" s="7"/>
      <c r="AM66" s="7"/>
      <c r="AN66" s="21"/>
      <c r="AO66" s="22"/>
      <c r="AP66" s="60"/>
      <c r="AQ66" s="60"/>
      <c r="AR66" s="58"/>
      <c r="AS66" s="7"/>
      <c r="AT66" s="7"/>
      <c r="AU66" s="7"/>
      <c r="AV66" s="7"/>
      <c r="AW66" s="21"/>
      <c r="AX66" s="22"/>
      <c r="AY66" s="60"/>
      <c r="AZ66" s="60"/>
      <c r="BA66" s="58"/>
      <c r="BB66" s="7"/>
      <c r="BC66" s="7"/>
      <c r="BD66" s="7"/>
      <c r="BE66" s="7"/>
      <c r="BF66" s="21"/>
      <c r="BG66" s="22"/>
      <c r="BH66" s="60"/>
      <c r="BI66" s="12"/>
      <c r="BJ66" s="12"/>
      <c r="BK66" s="12"/>
      <c r="BL66" s="12"/>
      <c r="BM66" s="12"/>
      <c r="BN66" s="2"/>
    </row>
    <row r="67" spans="2:66" x14ac:dyDescent="0.25">
      <c r="B67" s="228"/>
      <c r="C67" s="30"/>
      <c r="D67" s="2"/>
      <c r="E67" s="2"/>
      <c r="F67" s="35"/>
      <c r="J67" s="12"/>
      <c r="K67" s="14"/>
      <c r="L67" s="14"/>
      <c r="M67" s="14"/>
      <c r="N67" s="14"/>
      <c r="AE67" s="12"/>
      <c r="AF67" s="12"/>
      <c r="AG67" s="12"/>
      <c r="AH67" s="12"/>
      <c r="AN67" s="12"/>
      <c r="AO67" s="12"/>
      <c r="AP67" s="12"/>
      <c r="AW67" s="12"/>
      <c r="AX67" s="12"/>
      <c r="BE67"/>
      <c r="BF67" s="12"/>
      <c r="BG67" s="12"/>
      <c r="BH67" s="1"/>
    </row>
    <row r="68" spans="2:66" x14ac:dyDescent="0.25">
      <c r="B68" s="228"/>
      <c r="C68" s="30"/>
      <c r="D68" s="2"/>
      <c r="E68" s="2"/>
      <c r="F68" s="35"/>
      <c r="T68" s="245"/>
      <c r="U68" s="245"/>
      <c r="V68" s="60"/>
      <c r="W68" s="60"/>
      <c r="X68" s="60"/>
      <c r="Y68" s="60"/>
      <c r="Z68" s="60"/>
      <c r="AA68" s="60"/>
      <c r="AB68" s="60"/>
      <c r="AC68" s="60"/>
      <c r="AD68" t="e">
        <f>SUM(#REF!)</f>
        <v>#REF!</v>
      </c>
      <c r="AI68" s="60"/>
      <c r="AJ68" s="60"/>
      <c r="AK68" s="60"/>
      <c r="AL68" s="60"/>
      <c r="AQ68" s="60"/>
      <c r="AR68" s="60"/>
      <c r="AS68" s="60"/>
      <c r="AT68" s="60"/>
      <c r="AU68" s="60"/>
    </row>
    <row r="69" spans="2:66" x14ac:dyDescent="0.25">
      <c r="B69" s="228"/>
      <c r="C69" s="30"/>
      <c r="D69" s="2"/>
      <c r="E69" s="2"/>
      <c r="F69" s="35"/>
      <c r="Q69" s="1">
        <v>7</v>
      </c>
      <c r="AH69" s="245"/>
      <c r="AI69" s="245"/>
      <c r="AJ69" s="245"/>
      <c r="AK69" s="245"/>
      <c r="AL69" s="245"/>
      <c r="AM69" s="245"/>
      <c r="AN69" s="245"/>
      <c r="AO69" s="245"/>
      <c r="AP69" s="245"/>
      <c r="AV69" s="1"/>
    </row>
    <row r="70" spans="2:66" x14ac:dyDescent="0.25">
      <c r="B70" s="228"/>
      <c r="C70" s="30"/>
      <c r="D70" s="2"/>
      <c r="E70" s="2"/>
      <c r="F70" s="35"/>
      <c r="V70" s="60"/>
      <c r="W70" s="60"/>
      <c r="X70" s="60"/>
      <c r="Y70" s="60"/>
      <c r="Z70" s="60"/>
      <c r="AA70" s="60"/>
      <c r="AB70" s="60"/>
      <c r="AC70" s="60"/>
      <c r="AI70" s="60"/>
      <c r="AJ70" s="60"/>
      <c r="AK70" s="60"/>
      <c r="AL70" s="60"/>
      <c r="AQ70" s="60"/>
      <c r="AR70" s="60" t="s">
        <v>251</v>
      </c>
      <c r="AS70" s="60" t="s">
        <v>252</v>
      </c>
      <c r="AT70" s="60" t="s">
        <v>253</v>
      </c>
      <c r="AU70" s="60"/>
    </row>
    <row r="71" spans="2:66" x14ac:dyDescent="0.25">
      <c r="B71" s="228"/>
      <c r="C71" s="30"/>
      <c r="D71" s="2"/>
      <c r="E71" s="2"/>
      <c r="F71" s="35"/>
      <c r="AS71" s="1" t="s">
        <v>260</v>
      </c>
      <c r="AT71" s="1">
        <v>75000</v>
      </c>
    </row>
    <row r="72" spans="2:66" x14ac:dyDescent="0.25">
      <c r="B72" s="228"/>
      <c r="C72" s="30"/>
      <c r="D72" s="2"/>
      <c r="E72" s="2"/>
      <c r="F72" s="35"/>
      <c r="AD72" s="9"/>
      <c r="AM72" s="9"/>
      <c r="AS72" s="1" t="s">
        <v>261</v>
      </c>
      <c r="AT72" s="1">
        <v>95000</v>
      </c>
      <c r="AV72" s="9"/>
    </row>
    <row r="73" spans="2:66" x14ac:dyDescent="0.25">
      <c r="B73" s="228"/>
      <c r="C73" s="30"/>
      <c r="D73" s="2"/>
      <c r="E73" s="2"/>
      <c r="F73" s="35"/>
      <c r="AD73" s="9"/>
      <c r="AM73" s="9"/>
      <c r="AS73" s="1" t="s">
        <v>262</v>
      </c>
      <c r="AT73" s="1">
        <v>50000</v>
      </c>
      <c r="AV73" s="9"/>
    </row>
    <row r="74" spans="2:66" x14ac:dyDescent="0.25">
      <c r="B74" s="228"/>
      <c r="C74" s="30"/>
      <c r="D74" s="2"/>
      <c r="E74" s="2"/>
      <c r="F74" s="35"/>
      <c r="AS74" s="1" t="s">
        <v>263</v>
      </c>
      <c r="AT74" s="1">
        <v>50000</v>
      </c>
    </row>
    <row r="75" spans="2:66" x14ac:dyDescent="0.25">
      <c r="B75" s="228"/>
      <c r="C75" s="30"/>
      <c r="D75" s="2"/>
      <c r="E75" s="2"/>
      <c r="F75" s="35"/>
      <c r="AT75" s="1">
        <f>SUM(AT71:AT74)</f>
        <v>270000</v>
      </c>
    </row>
    <row r="76" spans="2:66" ht="15.75" thickBot="1" x14ac:dyDescent="0.3">
      <c r="B76" s="229"/>
      <c r="C76" s="31"/>
      <c r="D76" s="21"/>
      <c r="E76" s="21"/>
      <c r="F76" s="36"/>
      <c r="AS76" s="1" t="s">
        <v>175</v>
      </c>
      <c r="AT76" s="1">
        <v>200000</v>
      </c>
    </row>
    <row r="77" spans="2:66" x14ac:dyDescent="0.25">
      <c r="E77" s="17"/>
      <c r="AT77" s="1">
        <f>AT75-AT76</f>
        <v>70000</v>
      </c>
    </row>
    <row r="78" spans="2:66" ht="15.75" thickBot="1" x14ac:dyDescent="0.3">
      <c r="E78" s="17"/>
    </row>
    <row r="79" spans="2:66" ht="18.75" customHeight="1" x14ac:dyDescent="0.25">
      <c r="C79" s="14" t="s">
        <v>28</v>
      </c>
      <c r="D79" s="18">
        <f>D6+D7+D8+D9+D10+D11+D12+D13+D14+D15+D16+D34+D35+D36+D37+D38+D39+D40+D41+D17+D18+D42+D19+D20+D43+D44+D21+D45+D46+D22+D47+D48+D49+D23+D24+D25+D50+D52+D26+D54+D56+D29+D28+D31+D27</f>
        <v>3957500</v>
      </c>
      <c r="E79" s="18"/>
      <c r="F79" s="14"/>
      <c r="Q79" s="211"/>
      <c r="R79" s="212"/>
      <c r="S79" s="212"/>
      <c r="T79" s="212"/>
      <c r="U79" s="212"/>
      <c r="V79" s="212"/>
      <c r="W79" s="211"/>
      <c r="X79" s="215"/>
      <c r="Y79" s="150"/>
      <c r="Z79" s="150"/>
      <c r="AA79" s="150"/>
      <c r="AB79" s="150"/>
      <c r="AC79" s="150"/>
      <c r="AE79" s="211"/>
      <c r="AF79" s="212"/>
      <c r="AG79" s="212"/>
      <c r="AH79" s="212"/>
      <c r="AI79" s="212"/>
      <c r="AJ79" s="212"/>
      <c r="AK79" s="212"/>
      <c r="AL79" s="212"/>
      <c r="AM79" s="212"/>
      <c r="AN79" s="212"/>
      <c r="AO79" s="212"/>
      <c r="AP79" s="212"/>
      <c r="AQ79" s="212"/>
      <c r="AR79" s="148"/>
      <c r="AS79" s="148"/>
      <c r="AT79" s="148"/>
      <c r="AU79" s="148"/>
      <c r="AV79" s="148"/>
      <c r="AW79" s="148"/>
      <c r="AX79" s="148"/>
      <c r="AY79" s="148"/>
      <c r="AZ79" s="148"/>
      <c r="BA79" s="148"/>
      <c r="BB79" s="148"/>
      <c r="BC79" s="148"/>
      <c r="BD79" s="148"/>
      <c r="BE79" s="148"/>
      <c r="BF79" s="148"/>
      <c r="BG79" s="192"/>
      <c r="BH79" s="193"/>
    </row>
    <row r="80" spans="2:66" ht="19.5" customHeight="1" thickBot="1" x14ac:dyDescent="0.3">
      <c r="Q80" s="213"/>
      <c r="R80" s="214"/>
      <c r="S80" s="214"/>
      <c r="T80" s="214"/>
      <c r="U80" s="214"/>
      <c r="V80" s="214"/>
      <c r="W80" s="216"/>
      <c r="X80" s="217"/>
      <c r="Y80" s="150"/>
      <c r="Z80" s="150"/>
      <c r="AA80" s="150"/>
      <c r="AB80" s="150"/>
      <c r="AC80" s="150"/>
      <c r="AE80" s="213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150"/>
      <c r="AS80" s="150"/>
      <c r="AT80" s="150"/>
      <c r="AU80" s="150"/>
      <c r="AV80" s="150"/>
      <c r="AW80" s="150"/>
      <c r="AX80" s="150"/>
      <c r="AY80" s="150"/>
      <c r="AZ80" s="150"/>
      <c r="BA80" s="150"/>
      <c r="BB80" s="150"/>
      <c r="BC80" s="150"/>
      <c r="BD80" s="150"/>
      <c r="BE80" s="150"/>
      <c r="BF80" s="150"/>
      <c r="BG80" s="194"/>
      <c r="BH80" s="195"/>
    </row>
    <row r="81" spans="17:60" ht="19.5" thickBot="1" x14ac:dyDescent="0.3">
      <c r="Q81" s="75"/>
      <c r="R81" s="75"/>
      <c r="S81" s="75"/>
      <c r="T81" s="75"/>
      <c r="U81" s="75"/>
      <c r="V81" s="130"/>
      <c r="W81" s="216"/>
      <c r="X81" s="217"/>
      <c r="Y81" s="150"/>
      <c r="Z81" s="150"/>
      <c r="AA81" s="150"/>
      <c r="AB81" s="150"/>
      <c r="AC81" s="150"/>
      <c r="AE81" s="75"/>
      <c r="AF81" s="75"/>
      <c r="AG81" s="75"/>
      <c r="AH81" s="75"/>
      <c r="AI81" s="150"/>
      <c r="AJ81" s="150"/>
      <c r="AK81" s="150"/>
      <c r="AL81" s="150"/>
      <c r="AN81" s="75"/>
      <c r="AO81" s="75"/>
      <c r="AP81" s="75"/>
      <c r="AQ81" s="130"/>
      <c r="AR81" s="150"/>
      <c r="AS81" s="150"/>
      <c r="AT81" s="150"/>
      <c r="AU81" s="150"/>
      <c r="AW81" s="75"/>
      <c r="AX81" s="75"/>
      <c r="AY81" s="147"/>
      <c r="AZ81" s="147"/>
      <c r="BA81" s="147"/>
      <c r="BB81" s="147"/>
      <c r="BC81" s="147"/>
      <c r="BD81" s="147"/>
      <c r="BE81" s="147"/>
      <c r="BF81" s="147"/>
      <c r="BG81" s="194"/>
      <c r="BH81" s="195"/>
    </row>
    <row r="82" spans="17:60" ht="18.75" x14ac:dyDescent="0.25">
      <c r="Q82" s="19"/>
      <c r="R82" s="19"/>
      <c r="S82" s="19"/>
      <c r="T82" s="19"/>
      <c r="U82" s="128"/>
      <c r="V82" s="131"/>
      <c r="W82" s="216"/>
      <c r="X82" s="217"/>
      <c r="Y82" s="150"/>
      <c r="Z82" s="150"/>
      <c r="AA82" s="150"/>
      <c r="AB82" s="150"/>
      <c r="AC82" s="150"/>
      <c r="AE82" s="19"/>
      <c r="AF82" s="19"/>
      <c r="AG82" s="19"/>
      <c r="AH82" s="19"/>
      <c r="AI82" s="150"/>
      <c r="AJ82" s="150"/>
      <c r="AK82" s="150"/>
      <c r="AL82" s="150"/>
      <c r="AN82" s="19"/>
      <c r="AO82" s="19"/>
      <c r="AP82" s="128"/>
      <c r="AQ82" s="131"/>
      <c r="AR82" s="150"/>
      <c r="AS82" s="150"/>
      <c r="AT82" s="150"/>
      <c r="AU82" s="150"/>
      <c r="AW82" s="19"/>
      <c r="AX82" s="19"/>
      <c r="BG82" s="194"/>
      <c r="BH82" s="195"/>
    </row>
    <row r="83" spans="17:60" ht="18.75" x14ac:dyDescent="0.25">
      <c r="Q83" s="12"/>
      <c r="R83" s="12"/>
      <c r="S83" s="19"/>
      <c r="T83" s="19"/>
      <c r="U83" s="74"/>
      <c r="V83" s="131"/>
      <c r="W83" s="216"/>
      <c r="X83" s="217"/>
      <c r="Y83" s="150"/>
      <c r="Z83" s="150"/>
      <c r="AA83" s="150"/>
      <c r="AB83" s="150"/>
      <c r="AC83" s="150"/>
      <c r="AE83" s="12"/>
      <c r="AF83" s="12"/>
      <c r="AG83" s="19"/>
      <c r="AH83" s="19"/>
      <c r="AI83" s="150"/>
      <c r="AJ83" s="150"/>
      <c r="AK83" s="150"/>
      <c r="AL83" s="150"/>
      <c r="AN83" s="12"/>
      <c r="AO83" s="12"/>
      <c r="AP83" s="76"/>
      <c r="AQ83" s="131"/>
      <c r="AR83" s="150"/>
      <c r="AS83" s="150"/>
      <c r="AT83" s="150"/>
      <c r="AU83" s="150"/>
      <c r="AW83" s="12"/>
      <c r="AX83" s="12"/>
      <c r="BG83" s="194"/>
      <c r="BH83" s="195"/>
    </row>
    <row r="84" spans="17:60" ht="18.75" x14ac:dyDescent="0.25">
      <c r="Q84" s="12"/>
      <c r="R84" s="12"/>
      <c r="S84" s="19"/>
      <c r="T84" s="19"/>
      <c r="U84" s="74"/>
      <c r="V84" s="131"/>
      <c r="W84" s="216"/>
      <c r="X84" s="217"/>
      <c r="Y84" s="150"/>
      <c r="Z84" s="150"/>
      <c r="AA84" s="150"/>
      <c r="AB84" s="150"/>
      <c r="AC84" s="150"/>
      <c r="AE84" s="12"/>
      <c r="AF84" s="12"/>
      <c r="AG84" s="12"/>
      <c r="AH84" s="19"/>
      <c r="AI84" s="150"/>
      <c r="AJ84" s="150"/>
      <c r="AK84" s="150"/>
      <c r="AL84" s="150"/>
      <c r="AN84" s="12"/>
      <c r="AO84" s="12"/>
      <c r="AP84" s="74"/>
      <c r="AQ84" s="131"/>
      <c r="AR84" s="150"/>
      <c r="AS84" s="150"/>
      <c r="AT84" s="150"/>
      <c r="AU84" s="150"/>
      <c r="AW84" s="12"/>
      <c r="AX84" s="12"/>
      <c r="BG84" s="194"/>
      <c r="BH84" s="195"/>
    </row>
    <row r="85" spans="17:60" ht="18.75" x14ac:dyDescent="0.25">
      <c r="Q85" s="19"/>
      <c r="R85" s="12"/>
      <c r="S85" s="19"/>
      <c r="T85" s="19"/>
      <c r="U85" s="74"/>
      <c r="V85" s="131"/>
      <c r="W85" s="216"/>
      <c r="X85" s="217"/>
      <c r="Y85" s="150"/>
      <c r="Z85" s="150"/>
      <c r="AA85" s="150"/>
      <c r="AB85" s="150"/>
      <c r="AC85" s="150"/>
      <c r="AE85" s="6"/>
      <c r="AF85" s="12"/>
      <c r="AG85" s="12"/>
      <c r="AH85" s="19"/>
      <c r="AI85" s="150"/>
      <c r="AJ85" s="150"/>
      <c r="AK85" s="150"/>
      <c r="AL85" s="150"/>
      <c r="AN85" s="6"/>
      <c r="AO85" s="12"/>
      <c r="AP85" s="74"/>
      <c r="AQ85" s="131"/>
      <c r="AR85" s="150"/>
      <c r="AS85" s="150"/>
      <c r="AT85" s="150"/>
      <c r="AU85" s="150"/>
      <c r="AW85" s="6"/>
      <c r="AX85" s="12"/>
      <c r="BG85" s="194"/>
      <c r="BH85" s="195"/>
    </row>
    <row r="86" spans="17:60" ht="18.75" x14ac:dyDescent="0.25">
      <c r="Q86" s="12"/>
      <c r="R86" s="12"/>
      <c r="S86" s="19"/>
      <c r="T86" s="19"/>
      <c r="U86" s="74"/>
      <c r="V86" s="131"/>
      <c r="W86" s="216"/>
      <c r="X86" s="217"/>
      <c r="Y86" s="150"/>
      <c r="Z86" s="150"/>
      <c r="AA86" s="150"/>
      <c r="AB86" s="150"/>
      <c r="AC86" s="150"/>
      <c r="AE86" s="12"/>
      <c r="AF86" s="12"/>
      <c r="AG86" s="12"/>
      <c r="AH86" s="19"/>
      <c r="AI86" s="150"/>
      <c r="AJ86" s="150"/>
      <c r="AK86" s="150"/>
      <c r="AL86" s="150"/>
      <c r="AN86" s="12"/>
      <c r="AO86" s="12"/>
      <c r="AP86" s="74"/>
      <c r="AQ86" s="131"/>
      <c r="AR86" s="150"/>
      <c r="AS86" s="150"/>
      <c r="AT86" s="150"/>
      <c r="AU86" s="150"/>
      <c r="AW86" s="12"/>
      <c r="AX86" s="12"/>
      <c r="BG86" s="194"/>
      <c r="BH86" s="195"/>
    </row>
    <row r="87" spans="17:60" ht="18.75" x14ac:dyDescent="0.25">
      <c r="Q87" s="12"/>
      <c r="R87" s="12"/>
      <c r="S87" s="12"/>
      <c r="T87" s="19"/>
      <c r="U87" s="76"/>
      <c r="V87" s="131"/>
      <c r="W87" s="216"/>
      <c r="X87" s="217"/>
      <c r="Y87" s="150"/>
      <c r="Z87" s="150"/>
      <c r="AA87" s="150"/>
      <c r="AB87" s="150"/>
      <c r="AC87" s="150"/>
      <c r="AE87" s="12"/>
      <c r="AF87" s="12"/>
      <c r="AG87" s="12"/>
      <c r="AH87" s="12"/>
      <c r="AI87" s="150"/>
      <c r="AJ87" s="150"/>
      <c r="AK87" s="150"/>
      <c r="AL87" s="150"/>
      <c r="AN87" s="12"/>
      <c r="AO87" s="12"/>
      <c r="AP87" s="74"/>
      <c r="AQ87" s="125"/>
      <c r="AR87" s="150"/>
      <c r="AS87" s="150"/>
      <c r="AT87" s="150"/>
      <c r="AU87" s="150"/>
      <c r="AW87" s="12"/>
      <c r="AX87" s="12"/>
      <c r="BG87" s="194"/>
      <c r="BH87" s="195"/>
    </row>
    <row r="88" spans="17:60" ht="18.75" x14ac:dyDescent="0.25">
      <c r="Q88" s="19"/>
      <c r="R88" s="12"/>
      <c r="S88" s="12"/>
      <c r="T88" s="12"/>
      <c r="U88" s="74"/>
      <c r="V88" s="131"/>
      <c r="W88" s="216"/>
      <c r="X88" s="217"/>
      <c r="Y88" s="150"/>
      <c r="Z88" s="150"/>
      <c r="AA88" s="150"/>
      <c r="AB88" s="150"/>
      <c r="AC88" s="150"/>
      <c r="AE88" s="19"/>
      <c r="AF88" s="12"/>
      <c r="AG88" s="12"/>
      <c r="AH88" s="12"/>
      <c r="AI88" s="150"/>
      <c r="AJ88" s="150"/>
      <c r="AK88" s="150"/>
      <c r="AL88" s="150"/>
      <c r="AN88" s="19"/>
      <c r="AO88" s="12"/>
      <c r="AP88" s="74"/>
      <c r="AQ88" s="125"/>
      <c r="AR88" s="150"/>
      <c r="AS88" s="150"/>
      <c r="AT88" s="150"/>
      <c r="AU88" s="150"/>
      <c r="AW88" s="19"/>
      <c r="AX88" s="12"/>
      <c r="BG88" s="194"/>
      <c r="BH88" s="195"/>
    </row>
    <row r="89" spans="17:60" ht="18.75" x14ac:dyDescent="0.25">
      <c r="Q89" s="12"/>
      <c r="R89" s="12"/>
      <c r="S89" s="12"/>
      <c r="T89" s="12"/>
      <c r="U89" s="74"/>
      <c r="V89" s="125"/>
      <c r="W89" s="216"/>
      <c r="X89" s="217"/>
      <c r="Y89" s="150"/>
      <c r="Z89" s="150"/>
      <c r="AA89" s="150"/>
      <c r="AB89" s="150"/>
      <c r="AC89" s="150"/>
      <c r="AE89" s="12"/>
      <c r="AF89" s="12"/>
      <c r="AG89" s="12"/>
      <c r="AH89" s="12"/>
      <c r="AI89" s="150"/>
      <c r="AJ89" s="150"/>
      <c r="AK89" s="150"/>
      <c r="AL89" s="150"/>
      <c r="AN89" s="12"/>
      <c r="AO89" s="12"/>
      <c r="AP89" s="74"/>
      <c r="AQ89" s="125"/>
      <c r="AR89" s="150"/>
      <c r="AS89" s="150"/>
      <c r="AT89" s="150"/>
      <c r="AU89" s="150"/>
      <c r="AW89" s="12"/>
      <c r="AX89" s="12"/>
      <c r="BG89" s="194"/>
      <c r="BH89" s="195"/>
    </row>
    <row r="90" spans="17:60" ht="18.75" x14ac:dyDescent="0.25">
      <c r="Q90" s="12"/>
      <c r="R90" s="12"/>
      <c r="S90" s="12"/>
      <c r="T90" s="12"/>
      <c r="U90" s="74"/>
      <c r="V90" s="125"/>
      <c r="W90" s="216"/>
      <c r="X90" s="217"/>
      <c r="Y90" s="150"/>
      <c r="Z90" s="150"/>
      <c r="AA90" s="150"/>
      <c r="AB90" s="150"/>
      <c r="AC90" s="150"/>
      <c r="AE90" s="12"/>
      <c r="AF90" s="12"/>
      <c r="AG90" s="12"/>
      <c r="AH90" s="12"/>
      <c r="AI90" s="150"/>
      <c r="AJ90" s="150"/>
      <c r="AK90" s="150"/>
      <c r="AL90" s="150"/>
      <c r="AN90" s="12"/>
      <c r="AO90" s="12"/>
      <c r="AP90" s="74"/>
      <c r="AQ90" s="125"/>
      <c r="AR90" s="150"/>
      <c r="AS90" s="150"/>
      <c r="AT90" s="150"/>
      <c r="AU90" s="150"/>
      <c r="AW90" s="12"/>
      <c r="AX90" s="12"/>
      <c r="BG90" s="194"/>
      <c r="BH90" s="195"/>
    </row>
    <row r="91" spans="17:60" ht="19.5" thickBot="1" x14ac:dyDescent="0.3">
      <c r="Q91" s="12"/>
      <c r="R91" s="12"/>
      <c r="S91" s="12"/>
      <c r="T91" s="12"/>
      <c r="U91" s="74"/>
      <c r="V91" s="125"/>
      <c r="W91" s="213"/>
      <c r="X91" s="218"/>
      <c r="Y91" s="150"/>
      <c r="Z91" s="150"/>
      <c r="AA91" s="150"/>
      <c r="AB91" s="150"/>
      <c r="AC91" s="150"/>
      <c r="AE91" s="12"/>
      <c r="AF91" s="12"/>
      <c r="AG91" s="12"/>
      <c r="AH91" s="12"/>
      <c r="AI91" s="150"/>
      <c r="AJ91" s="150"/>
      <c r="AK91" s="150"/>
      <c r="AL91" s="150"/>
      <c r="AN91" s="12"/>
      <c r="AO91" s="12"/>
      <c r="AP91" s="74"/>
      <c r="AQ91" s="125"/>
      <c r="AR91" s="150"/>
      <c r="AS91" s="150"/>
      <c r="AT91" s="150"/>
      <c r="AU91" s="150"/>
      <c r="AW91" s="12"/>
      <c r="AX91" s="12"/>
      <c r="BG91" s="196"/>
      <c r="BH91" s="197"/>
    </row>
    <row r="92" spans="17:60" x14ac:dyDescent="0.25">
      <c r="Q92" s="198"/>
      <c r="R92" s="199"/>
      <c r="S92" s="199"/>
      <c r="T92" s="199"/>
      <c r="U92" s="199"/>
      <c r="V92" s="199"/>
      <c r="W92" s="199"/>
      <c r="X92" s="200"/>
      <c r="Y92" s="151"/>
      <c r="Z92" s="151"/>
      <c r="AA92" s="151"/>
      <c r="AB92" s="151"/>
      <c r="AC92" s="151"/>
      <c r="AE92" s="198"/>
      <c r="AF92" s="199"/>
      <c r="AG92" s="199"/>
      <c r="AH92" s="199"/>
      <c r="AI92" s="199"/>
      <c r="AJ92" s="199"/>
      <c r="AK92" s="199"/>
      <c r="AL92" s="199"/>
      <c r="AM92" s="199"/>
      <c r="AN92" s="199"/>
      <c r="AO92" s="199"/>
      <c r="AP92" s="199"/>
      <c r="AQ92" s="199"/>
      <c r="AR92" s="199"/>
      <c r="AS92" s="199"/>
      <c r="AT92" s="199"/>
      <c r="AU92" s="199"/>
      <c r="AV92" s="199"/>
      <c r="AW92" s="199"/>
      <c r="AX92" s="199"/>
      <c r="AY92" s="199"/>
      <c r="AZ92" s="199"/>
      <c r="BA92" s="199"/>
      <c r="BB92" s="199"/>
      <c r="BC92" s="199"/>
      <c r="BD92" s="199"/>
      <c r="BE92" s="199"/>
      <c r="BF92" s="199"/>
      <c r="BG92" s="199"/>
      <c r="BH92" s="200"/>
    </row>
    <row r="93" spans="17:60" ht="15.75" thickBot="1" x14ac:dyDescent="0.3">
      <c r="Q93" s="201"/>
      <c r="R93" s="202"/>
      <c r="S93" s="202"/>
      <c r="T93" s="202"/>
      <c r="U93" s="202"/>
      <c r="V93" s="202"/>
      <c r="W93" s="202"/>
      <c r="X93" s="203"/>
      <c r="Y93" s="151"/>
      <c r="Z93" s="151"/>
      <c r="AA93" s="151"/>
      <c r="AB93" s="151"/>
      <c r="AC93" s="151"/>
      <c r="AE93" s="201"/>
      <c r="AF93" s="202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202"/>
      <c r="AU93" s="202"/>
      <c r="AV93" s="202"/>
      <c r="AW93" s="202"/>
      <c r="AX93" s="202"/>
      <c r="AY93" s="202"/>
      <c r="AZ93" s="202"/>
      <c r="BA93" s="202"/>
      <c r="BB93" s="202"/>
      <c r="BC93" s="202"/>
      <c r="BD93" s="202"/>
      <c r="BE93" s="202"/>
      <c r="BF93" s="202"/>
      <c r="BG93" s="202"/>
      <c r="BH93" s="203"/>
    </row>
    <row r="96" spans="17:60" ht="15.75" thickBot="1" x14ac:dyDescent="0.3"/>
    <row r="97" spans="17:47" ht="18.75" customHeight="1" x14ac:dyDescent="0.25">
      <c r="Q97" s="204"/>
      <c r="R97" s="205"/>
      <c r="S97" s="205"/>
      <c r="T97" s="205"/>
      <c r="U97" s="205"/>
      <c r="V97" s="205"/>
      <c r="W97" s="204"/>
      <c r="X97" s="208"/>
      <c r="Y97" s="152"/>
      <c r="Z97" s="152"/>
      <c r="AA97" s="152"/>
      <c r="AB97" s="152"/>
      <c r="AC97" s="152"/>
      <c r="AI97" s="152"/>
      <c r="AJ97" s="152"/>
      <c r="AK97" s="152"/>
      <c r="AL97" s="152"/>
      <c r="AR97" s="152"/>
      <c r="AS97" s="152"/>
      <c r="AT97" s="152"/>
      <c r="AU97" s="152"/>
    </row>
    <row r="98" spans="17:47" ht="15.75" customHeight="1" thickBot="1" x14ac:dyDescent="0.3">
      <c r="Q98" s="206"/>
      <c r="R98" s="207"/>
      <c r="S98" s="207"/>
      <c r="T98" s="207"/>
      <c r="U98" s="207"/>
      <c r="V98" s="207"/>
      <c r="W98" s="209"/>
      <c r="X98" s="210"/>
      <c r="Y98" s="152"/>
      <c r="Z98" s="152"/>
      <c r="AA98" s="152"/>
      <c r="AB98" s="152"/>
      <c r="AC98" s="152"/>
      <c r="AI98" s="152"/>
      <c r="AJ98" s="152"/>
      <c r="AK98" s="152"/>
      <c r="AL98" s="152"/>
      <c r="AR98" s="152"/>
      <c r="AS98" s="152"/>
      <c r="AT98" s="152"/>
      <c r="AU98" s="152"/>
    </row>
    <row r="99" spans="17:47" ht="19.5" thickBot="1" x14ac:dyDescent="0.3">
      <c r="Q99" s="75"/>
      <c r="R99" s="75"/>
      <c r="S99" s="75"/>
      <c r="T99" s="75"/>
      <c r="U99" s="75"/>
      <c r="V99" s="130"/>
      <c r="W99" s="209"/>
      <c r="X99" s="210"/>
      <c r="Y99" s="152"/>
      <c r="Z99" s="152"/>
      <c r="AA99" s="152"/>
      <c r="AB99" s="152"/>
      <c r="AC99" s="152"/>
      <c r="AI99" s="152"/>
      <c r="AJ99" s="152"/>
      <c r="AK99" s="152"/>
      <c r="AL99" s="152"/>
      <c r="AR99" s="152"/>
      <c r="AS99" s="152"/>
      <c r="AT99" s="152"/>
      <c r="AU99" s="152"/>
    </row>
    <row r="100" spans="17:47" ht="18.75" x14ac:dyDescent="0.25">
      <c r="Q100" s="19"/>
      <c r="R100" s="19"/>
      <c r="S100" s="19"/>
      <c r="T100" s="19"/>
      <c r="U100" s="77"/>
      <c r="V100" s="131"/>
      <c r="W100" s="209"/>
      <c r="X100" s="210"/>
      <c r="Y100" s="152"/>
      <c r="Z100" s="152"/>
      <c r="AA100" s="152"/>
      <c r="AB100" s="152"/>
      <c r="AC100" s="152"/>
      <c r="AI100" s="152"/>
      <c r="AJ100" s="152"/>
      <c r="AK100" s="152"/>
      <c r="AL100" s="152"/>
      <c r="AR100" s="152"/>
      <c r="AS100" s="152"/>
      <c r="AT100" s="152"/>
      <c r="AU100" s="152"/>
    </row>
    <row r="101" spans="17:47" ht="18.75" x14ac:dyDescent="0.25">
      <c r="Q101" s="12"/>
      <c r="R101" s="12"/>
      <c r="S101" s="12"/>
      <c r="T101" s="19"/>
      <c r="U101" s="76"/>
      <c r="V101" s="125"/>
      <c r="W101" s="209"/>
      <c r="X101" s="210"/>
      <c r="Y101" s="152"/>
      <c r="Z101" s="152"/>
      <c r="AA101" s="152"/>
      <c r="AB101" s="152"/>
      <c r="AC101" s="152"/>
      <c r="AI101" s="152"/>
      <c r="AJ101" s="152"/>
      <c r="AK101" s="152"/>
      <c r="AL101" s="152"/>
      <c r="AR101" s="152"/>
      <c r="AS101" s="152"/>
      <c r="AT101" s="152"/>
      <c r="AU101" s="152"/>
    </row>
    <row r="102" spans="17:47" ht="18.75" x14ac:dyDescent="0.25">
      <c r="Q102" s="12"/>
      <c r="R102" s="12"/>
      <c r="S102" s="12"/>
      <c r="T102" s="12"/>
      <c r="U102" s="77"/>
      <c r="V102" s="131"/>
      <c r="W102" s="209"/>
      <c r="X102" s="210"/>
      <c r="Y102" s="152"/>
      <c r="Z102" s="152"/>
      <c r="AA102" s="152"/>
      <c r="AB102" s="152"/>
      <c r="AC102" s="152"/>
      <c r="AI102" s="152"/>
      <c r="AJ102" s="152"/>
      <c r="AK102" s="152"/>
      <c r="AL102" s="152"/>
      <c r="AR102" s="152"/>
      <c r="AS102" s="152"/>
      <c r="AT102" s="152"/>
      <c r="AU102" s="152"/>
    </row>
    <row r="103" spans="17:47" ht="18.75" x14ac:dyDescent="0.25">
      <c r="Q103" s="12"/>
      <c r="R103" s="12"/>
      <c r="S103" s="12"/>
      <c r="T103" s="12"/>
      <c r="U103" s="128"/>
      <c r="V103" s="125"/>
      <c r="W103" s="209"/>
      <c r="X103" s="210"/>
      <c r="Y103" s="152"/>
      <c r="Z103" s="152"/>
      <c r="AA103" s="152"/>
      <c r="AB103" s="152"/>
      <c r="AC103" s="152"/>
      <c r="AI103" s="152"/>
      <c r="AJ103" s="152"/>
      <c r="AK103" s="152"/>
      <c r="AL103" s="152"/>
      <c r="AR103" s="152"/>
      <c r="AS103" s="152"/>
      <c r="AT103" s="152"/>
      <c r="AU103" s="152"/>
    </row>
    <row r="104" spans="17:47" ht="18.75" x14ac:dyDescent="0.25">
      <c r="Q104" s="12"/>
      <c r="R104" s="12"/>
      <c r="S104" s="12"/>
      <c r="T104" s="12"/>
      <c r="U104" s="128"/>
      <c r="V104" s="125"/>
      <c r="W104" s="209"/>
      <c r="X104" s="210"/>
      <c r="Y104" s="152"/>
      <c r="Z104" s="152"/>
      <c r="AA104" s="152"/>
      <c r="AB104" s="152"/>
      <c r="AC104" s="152"/>
      <c r="AI104" s="152"/>
      <c r="AJ104" s="152"/>
      <c r="AK104" s="152"/>
      <c r="AL104" s="152"/>
      <c r="AR104" s="152"/>
      <c r="AS104" s="152"/>
      <c r="AT104" s="152"/>
      <c r="AU104" s="152"/>
    </row>
    <row r="105" spans="17:47" ht="18.75" x14ac:dyDescent="0.25">
      <c r="Q105" s="12"/>
      <c r="R105" s="12"/>
      <c r="S105" s="12"/>
      <c r="T105" s="12"/>
      <c r="U105" s="128"/>
      <c r="V105" s="125"/>
      <c r="W105" s="209"/>
      <c r="X105" s="210"/>
      <c r="Y105" s="152"/>
      <c r="Z105" s="152"/>
      <c r="AA105" s="152"/>
      <c r="AB105" s="152"/>
      <c r="AC105" s="152"/>
      <c r="AI105" s="152"/>
      <c r="AJ105" s="152"/>
      <c r="AK105" s="152"/>
      <c r="AL105" s="152"/>
      <c r="AR105" s="152"/>
      <c r="AS105" s="152"/>
      <c r="AT105" s="152"/>
      <c r="AU105" s="152"/>
    </row>
    <row r="106" spans="17:47" ht="18.75" x14ac:dyDescent="0.25">
      <c r="Q106" s="12"/>
      <c r="R106" s="12"/>
      <c r="S106" s="12"/>
      <c r="T106" s="12"/>
      <c r="U106" s="128"/>
      <c r="V106" s="125"/>
      <c r="W106" s="209"/>
      <c r="X106" s="210"/>
      <c r="Y106" s="152"/>
      <c r="Z106" s="152"/>
      <c r="AA106" s="152"/>
      <c r="AB106" s="152"/>
      <c r="AC106" s="152"/>
      <c r="AI106" s="152"/>
      <c r="AJ106" s="152"/>
      <c r="AK106" s="152"/>
      <c r="AL106" s="152"/>
      <c r="AR106" s="152"/>
      <c r="AS106" s="152"/>
      <c r="AT106" s="152"/>
      <c r="AU106" s="152"/>
    </row>
    <row r="107" spans="17:47" ht="19.5" thickBot="1" x14ac:dyDescent="0.3">
      <c r="Q107" s="132"/>
      <c r="R107" s="132"/>
      <c r="S107" s="132"/>
      <c r="T107" s="132"/>
      <c r="U107" s="133"/>
      <c r="V107" s="126"/>
      <c r="W107" s="209"/>
      <c r="X107" s="210"/>
      <c r="Y107" s="152"/>
      <c r="Z107" s="152"/>
      <c r="AA107" s="152"/>
      <c r="AB107" s="152"/>
      <c r="AC107" s="152"/>
      <c r="AI107" s="152"/>
      <c r="AJ107" s="152"/>
      <c r="AK107" s="152"/>
      <c r="AL107" s="152"/>
      <c r="AR107" s="152"/>
      <c r="AS107" s="152"/>
      <c r="AT107" s="152"/>
      <c r="AU107" s="152"/>
    </row>
    <row r="108" spans="17:47" x14ac:dyDescent="0.25">
      <c r="Q108" s="198"/>
      <c r="R108" s="199"/>
      <c r="S108" s="199"/>
      <c r="T108" s="199"/>
      <c r="U108" s="199"/>
      <c r="V108" s="199"/>
      <c r="W108" s="199"/>
      <c r="X108" s="200"/>
      <c r="Y108" s="151"/>
      <c r="Z108" s="151"/>
      <c r="AA108" s="151"/>
      <c r="AB108" s="151"/>
      <c r="AC108" s="151"/>
      <c r="AI108" s="151"/>
      <c r="AJ108" s="151"/>
      <c r="AK108" s="151"/>
      <c r="AL108" s="151"/>
      <c r="AR108" s="151"/>
      <c r="AS108" s="151"/>
      <c r="AT108" s="151"/>
      <c r="AU108" s="151"/>
    </row>
    <row r="109" spans="17:47" ht="15.75" thickBot="1" x14ac:dyDescent="0.3">
      <c r="Q109" s="201"/>
      <c r="R109" s="202"/>
      <c r="S109" s="202"/>
      <c r="T109" s="202"/>
      <c r="U109" s="202"/>
      <c r="V109" s="202"/>
      <c r="W109" s="202"/>
      <c r="X109" s="203"/>
      <c r="Y109" s="151"/>
      <c r="Z109" s="151"/>
      <c r="AA109" s="151"/>
      <c r="AB109" s="151"/>
      <c r="AC109" s="151"/>
      <c r="AI109" s="151"/>
      <c r="AJ109" s="151"/>
      <c r="AK109" s="151"/>
      <c r="AL109" s="151"/>
      <c r="AR109" s="151"/>
      <c r="AS109" s="151"/>
      <c r="AT109" s="151"/>
      <c r="AU109" s="151"/>
    </row>
  </sheetData>
  <autoFilter ref="Q3:V3" xr:uid="{E6E777F2-5B29-4FF4-B91B-926C410A4C70}"/>
  <mergeCells count="37">
    <mergeCell ref="T68:U68"/>
    <mergeCell ref="AH69:AP69"/>
    <mergeCell ref="BQ1:BU2"/>
    <mergeCell ref="BQ27:BU28"/>
    <mergeCell ref="BV1:BX2"/>
    <mergeCell ref="BV27:BX28"/>
    <mergeCell ref="BQ23:BT23"/>
    <mergeCell ref="Q1:W2"/>
    <mergeCell ref="Z1:AF2"/>
    <mergeCell ref="AI1:AO2"/>
    <mergeCell ref="AR1:AX2"/>
    <mergeCell ref="BA1:BG2"/>
    <mergeCell ref="BI1:BN2"/>
    <mergeCell ref="B6:B33"/>
    <mergeCell ref="B34:B61"/>
    <mergeCell ref="B62:B76"/>
    <mergeCell ref="B3:F3"/>
    <mergeCell ref="B4:B5"/>
    <mergeCell ref="C4:C5"/>
    <mergeCell ref="D4:D5"/>
    <mergeCell ref="E4:E5"/>
    <mergeCell ref="F4:F5"/>
    <mergeCell ref="C50:C51"/>
    <mergeCell ref="D50:D51"/>
    <mergeCell ref="C52:C53"/>
    <mergeCell ref="D52:D53"/>
    <mergeCell ref="C54:C55"/>
    <mergeCell ref="D54:D55"/>
    <mergeCell ref="BG79:BH91"/>
    <mergeCell ref="Q108:X109"/>
    <mergeCell ref="Q97:V98"/>
    <mergeCell ref="W97:X107"/>
    <mergeCell ref="Q79:V80"/>
    <mergeCell ref="AE79:AQ80"/>
    <mergeCell ref="W79:X91"/>
    <mergeCell ref="Q92:X93"/>
    <mergeCell ref="AE92:BH9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Mensualidades </vt:lpstr>
      <vt:lpstr>Uniformes y maletines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Hernandez</dc:creator>
  <cp:lastModifiedBy>gilberto rocafuerte</cp:lastModifiedBy>
  <cp:lastPrinted>2025-08-19T00:55:11Z</cp:lastPrinted>
  <dcterms:created xsi:type="dcterms:W3CDTF">2025-01-16T13:19:17Z</dcterms:created>
  <dcterms:modified xsi:type="dcterms:W3CDTF">2026-08-11T17:14:16Z</dcterms:modified>
</cp:coreProperties>
</file>